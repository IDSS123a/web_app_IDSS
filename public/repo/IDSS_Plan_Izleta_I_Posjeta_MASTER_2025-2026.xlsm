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Ova_radna_sveska" defaultThemeVersion="166925"/>
  <mc:AlternateContent xmlns:mc="http://schemas.openxmlformats.org/markup-compatibility/2006">
    <mc:Choice Requires="x15">
      <x15ac:absPath xmlns:x15ac="http://schemas.microsoft.com/office/spreadsheetml/2010/11/ac" url="C:\DAVOR_IDSS\Locker\SCHOOL\2025-2026\Izleti_I_Posjete\"/>
    </mc:Choice>
  </mc:AlternateContent>
  <xr:revisionPtr revIDLastSave="0" documentId="13_ncr:1_{717585F3-96F8-45F7-883B-B05A41E019F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ist2" sheetId="5" r:id="rId1"/>
    <sheet name="Izleti_I_Obilasci" sheetId="2" r:id="rId2"/>
    <sheet name="Settings" sheetId="3" r:id="rId3"/>
  </sheets>
  <externalReferences>
    <externalReference r:id="rId4"/>
    <externalReference r:id="rId5"/>
    <externalReference r:id="rId6"/>
  </externalReferences>
  <definedNames>
    <definedName name="_xlnm._FilterDatabase" localSheetId="1" hidden="1">Izleti_I_Obilasci!$A$4:$K$197</definedName>
    <definedName name="_xlnm.Print_Titles" localSheetId="1">Izleti_I_Obilasci!$1:$4</definedName>
    <definedName name="_xlnm.Print_Area" localSheetId="0">List2!$A$1:$L$91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8" i="2" l="1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5" i="2"/>
  <c r="B6" i="2"/>
  <c r="B7" i="2"/>
  <c r="B8" i="2"/>
  <c r="B9" i="2"/>
  <c r="B10" i="2"/>
  <c r="B11" i="2"/>
  <c r="B12" i="2"/>
  <c r="B13" i="2"/>
  <c r="B14" i="2" l="1"/>
  <c r="B15" i="2"/>
  <c r="B16" i="2"/>
  <c r="B17" i="2"/>
  <c r="B18" i="2"/>
  <c r="B19" i="2"/>
  <c r="B20" i="2"/>
  <c r="B21" i="2"/>
  <c r="B42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</calcChain>
</file>

<file path=xl/sharedStrings.xml><?xml version="1.0" encoding="utf-8"?>
<sst xmlns="http://schemas.openxmlformats.org/spreadsheetml/2006/main" count="1309" uniqueCount="739">
  <si>
    <t>Amra Franca</t>
  </si>
  <si>
    <t>Victoria Bartz</t>
  </si>
  <si>
    <t>Anes Memić</t>
  </si>
  <si>
    <t>Melisa Babić</t>
  </si>
  <si>
    <t>Hana Hodžić</t>
  </si>
  <si>
    <t>Sunita Kaikčija</t>
  </si>
  <si>
    <t>Razred</t>
  </si>
  <si>
    <t>Planirani Datum</t>
  </si>
  <si>
    <t>Mjesto Posjete</t>
  </si>
  <si>
    <t>Broj Učenika</t>
  </si>
  <si>
    <t>Troškovi</t>
  </si>
  <si>
    <t>Realizirano</t>
  </si>
  <si>
    <t>Datum Realizacije</t>
  </si>
  <si>
    <t>Napomene</t>
  </si>
  <si>
    <t>I razred</t>
  </si>
  <si>
    <t>Da</t>
  </si>
  <si>
    <t>II razred</t>
  </si>
  <si>
    <t>Ne</t>
  </si>
  <si>
    <t>III razred</t>
  </si>
  <si>
    <t>IDSS - Plan učeničkih izleta i posjeta u školskoj 2025/2026</t>
  </si>
  <si>
    <t>IV razred</t>
  </si>
  <si>
    <t>V razred</t>
  </si>
  <si>
    <t>VI razred</t>
  </si>
  <si>
    <t>VII razred</t>
  </si>
  <si>
    <t>VIII razred</t>
  </si>
  <si>
    <t>IX razred</t>
  </si>
  <si>
    <t>Nastavnik</t>
  </si>
  <si>
    <t>Amela Fazlović</t>
  </si>
  <si>
    <t>Amina Ibrahimović Bojić</t>
  </si>
  <si>
    <t>Amra Kurešepi</t>
  </si>
  <si>
    <t>Damir Anđelić</t>
  </si>
  <si>
    <t>Dina Gusinac</t>
  </si>
  <si>
    <t>Haris Hamzić</t>
  </si>
  <si>
    <t>Irma Backes</t>
  </si>
  <si>
    <t>Melisa Tvrtković</t>
  </si>
  <si>
    <t>Nejla Burhan</t>
  </si>
  <si>
    <t>Nejra Ljubunčić</t>
  </si>
  <si>
    <t>Nikolina Todorović</t>
  </si>
  <si>
    <t>Šemsija Kulenović</t>
  </si>
  <si>
    <t>Vanja Solaković</t>
  </si>
  <si>
    <t>Datum</t>
  </si>
  <si>
    <t>Realizovano</t>
  </si>
  <si>
    <t>IDSS predškola</t>
  </si>
  <si>
    <t>Razrednik</t>
  </si>
  <si>
    <t>Selma Mujanović</t>
  </si>
  <si>
    <t>Adna Mešić</t>
  </si>
  <si>
    <t>Hena Mušanović</t>
  </si>
  <si>
    <t>Alena Batistuti</t>
  </si>
  <si>
    <t>Aras Samardžija</t>
  </si>
  <si>
    <t>Adela Subašić Kopić</t>
  </si>
  <si>
    <t>Hana Hodžič</t>
  </si>
  <si>
    <t>Semra Isanović</t>
  </si>
  <si>
    <t>Podrška u realizaciji Izleta/Posjete</t>
  </si>
  <si>
    <t>potrebno rezervisati transport, pripremiti rekvizite, upoznati roditelje, učenike, plan aktivnosti na lokaciji, prva pomoć...</t>
  </si>
  <si>
    <t>Semra Isanović, Sunita Kaikčija, Aras Samardžija</t>
  </si>
  <si>
    <t>Septembar</t>
  </si>
  <si>
    <t>Javorov Do</t>
  </si>
  <si>
    <t>Sport</t>
  </si>
  <si>
    <t>Novembar</t>
  </si>
  <si>
    <t>Decembar</t>
  </si>
  <si>
    <t>Sarajevska zima</t>
  </si>
  <si>
    <t>Februar</t>
  </si>
  <si>
    <t>Mart</t>
  </si>
  <si>
    <t>Iftar</t>
  </si>
  <si>
    <t>April</t>
  </si>
  <si>
    <t>Maj</t>
  </si>
  <si>
    <t>Kino</t>
  </si>
  <si>
    <t>Druženje, sadoled</t>
  </si>
  <si>
    <t>Babin dol</t>
  </si>
  <si>
    <t>potrebno rezervisati transport, pripremiti rekvizite, upoznati roditelje, učenike, plan aktivnosti na lokaciji, organizacija nastavnika u nadzoru i realizaciji aktivnosti, prva pomoć...</t>
  </si>
  <si>
    <t>Pozorište</t>
  </si>
  <si>
    <t>Aerodrom</t>
  </si>
  <si>
    <t>37. Međunarodni sajam knjiga 2026</t>
  </si>
  <si>
    <t>Muzej</t>
  </si>
  <si>
    <t>Selma Mujanović, Semra Isanović</t>
  </si>
  <si>
    <t>Selma Mujanović, Nejra Ljubunčić</t>
  </si>
  <si>
    <t>Selma Mujanović, Hena Mušanović</t>
  </si>
  <si>
    <t>Selma Mujanović, Nejra Ljubunčić, Amina Ibrahimović Bojić, Amra Kurešepi, Anes Memić, Aras Samardžija, Damir Anđelić, Irma Backes, Melisa Babić, Semra Isanović</t>
  </si>
  <si>
    <t>Selma Mujanović, Melisa Babić</t>
  </si>
  <si>
    <t>Selma Mujanović, Amra Kurešepi</t>
  </si>
  <si>
    <t>kino</t>
  </si>
  <si>
    <t>odrediti predstavu, nabaviti ulaznice, upoznati roditelje, učenike, plan aktivnosti na lokaciji, organizacija nastavnika u nadzoru i realizaciji aktivnosti, prva pomoć...</t>
  </si>
  <si>
    <t>odrediti lokaciju, napraviti rezervaciju, upoznati roditelje, učenike, plan aktivnosti na lokaciji, organizacija nastavnika u nadzoru i realizaciji aktivnosti, prva pomoć...</t>
  </si>
  <si>
    <t>upoznati roditelje, učenike, plan aktivnosti na lokaciji, organizacija nastavnika u nadzoru i realizaciji aktivnosti, prva pomoć...</t>
  </si>
  <si>
    <t>nabaviti ulaznice, upoznati roditelje, učenike, plan aktivnosti na lokaciji, organizacija nastavnika u nadzoru i realizaciji aktivnosti, prva pomoć...</t>
  </si>
  <si>
    <t>Malak farma</t>
  </si>
  <si>
    <t>Medina Karaga</t>
  </si>
  <si>
    <t>Amela Fazlović, Medina Karaga</t>
  </si>
  <si>
    <t>potrebno rezervisati transport, pripremiti rekvizite, upoznati roditelje, učenike, plan aktivnosti na lokaciji, organizacija nastavnika u nadzoru i realizaciji aktivnosti, ručak i užina, napitci, prva pomoć...</t>
  </si>
  <si>
    <t>Zemaljski muzej</t>
  </si>
  <si>
    <t>nabaviti ulaznice, upoznati roditelje, pripremiti djecu, plan aktivnosti na lokaciji, organizacija odgajatelja/nastavnika u nadzoru i realizaciji aktivnosti, prva pomoć...</t>
  </si>
  <si>
    <t>Edukacijsko-zabavni (Edutainment)</t>
  </si>
  <si>
    <t>Kulturološki / historijski</t>
  </si>
  <si>
    <t>Prirodno-istraživački / ekološki</t>
  </si>
  <si>
    <t>Stručni / profesionalni</t>
  </si>
  <si>
    <t>Sportsko-rekreativni</t>
  </si>
  <si>
    <t>Humanitarni / društveno angažovani</t>
  </si>
  <si>
    <t>Umjetničko-kreativni</t>
  </si>
  <si>
    <t>Multimedijalni / tehnološki</t>
  </si>
  <si>
    <t>Cilj / tip aktivnosti</t>
  </si>
  <si>
    <t>potrebno rezervisati transport, pripremiti rekvizite, upoznati roditelje, pripremiti djecu, plan aktivnosti na lokaciji, organizacija odgajatelja/ nastavnika u nadzoru i realizaciji aktivnosti, ručak i užina, napitci, prva pomoć...</t>
  </si>
  <si>
    <t>potrebno rezervisati transport, pripremiti rekvizite, upoznati roditelje, pripremiti djecu, plan aktivnosti na lokaciji, organizacija odgajatelja/ nastavnika u nadzoru i realizaciji aktivnosti, užina, napitci, prva pomoć...</t>
  </si>
  <si>
    <t>upoznati roditelje, pripremiti djecu, plan aktivnosti na lokaciji, organizacija odgajatelja/ nastavnika u nadzoru i realizaciji aktivnosti, prva pomoć...</t>
  </si>
  <si>
    <t>Vatrogasna stanica</t>
  </si>
  <si>
    <t>Brus</t>
  </si>
  <si>
    <t>ZOO Bambi</t>
  </si>
  <si>
    <t>Kids Village</t>
  </si>
  <si>
    <t>Park Ravne</t>
  </si>
  <si>
    <t>Razvijanje kulturnih navika</t>
  </si>
  <si>
    <t>Oktobar</t>
  </si>
  <si>
    <t>Socijalni i rekreativni cilj</t>
  </si>
  <si>
    <t>čitava skola</t>
  </si>
  <si>
    <t>Muzej iluzija</t>
  </si>
  <si>
    <t>Zabavni i rekreativni cilj, podsticanje kreativnosti i mašte</t>
  </si>
  <si>
    <t>Januar</t>
  </si>
  <si>
    <t>Pozorište mladih Sarajevo</t>
  </si>
  <si>
    <t>Čas čitanja (Goethe Insititut)</t>
  </si>
  <si>
    <t>Upoznavanje bilbioteka i promocija čitanja</t>
  </si>
  <si>
    <t>Šetnja Baščaršijom</t>
  </si>
  <si>
    <t>36. Međunarodni Sarajevski sajam knjiga</t>
  </si>
  <si>
    <t>Razvijanje ljubavi prema čitanju</t>
  </si>
  <si>
    <t xml:space="preserve"> Trebević (vožnja žičarom)</t>
  </si>
  <si>
    <t>Jun</t>
  </si>
  <si>
    <t>Pionirska dolina</t>
  </si>
  <si>
    <t>Potrebno provjeriti projekcije u kinu i upoznati roditelje</t>
  </si>
  <si>
    <t>Potrebno pripremiti rekvizite, obezbjediti adekvatan ručak, prijevoz i obavijestiti roditelje</t>
  </si>
  <si>
    <t>Potrebno obavijestiti roditelje i rezervisati ulaznice.</t>
  </si>
  <si>
    <t>Provjeriti repertoar, rezervisati ulaznice i obavijestiti roditelje.</t>
  </si>
  <si>
    <t>Potrebno kontaktirati biblioteku i upoznati roditelje.</t>
  </si>
  <si>
    <t>Potrebno obavijestiti roditelje.</t>
  </si>
  <si>
    <t xml:space="preserve">Potrebno obavijestiti roditelje. </t>
  </si>
  <si>
    <t>Potrebno obavijestiti roditelje i obezbjediti karte za žičaru.</t>
  </si>
  <si>
    <t>Javorov do</t>
  </si>
  <si>
    <t>čitava škola</t>
  </si>
  <si>
    <t>potrebno provjeriti projekcije u kinu i upoznati roditelje</t>
  </si>
  <si>
    <t>Bembaša</t>
  </si>
  <si>
    <t>Zdravstveni i rekreativni cilj</t>
  </si>
  <si>
    <t>potrebno obavijestiti roditelje i rezervisati transport</t>
  </si>
  <si>
    <t>Zabavni i rekreativni cilj</t>
  </si>
  <si>
    <t>potrebno provjeriti repertoar i upoznati roditelje</t>
  </si>
  <si>
    <t>Razvijanje mašte i kreativnosti</t>
  </si>
  <si>
    <t>potrebno obavijestiti roditelje i provjeriti vremensku prognozu</t>
  </si>
  <si>
    <t>Čas čitanja (EU-bilbioteka Sarajevo ili Goethe Insititut)</t>
  </si>
  <si>
    <t>potrebno kontaktirati biblioteke i upoznati roditelje</t>
  </si>
  <si>
    <t>Sportski centar "Safet Zajko"</t>
  </si>
  <si>
    <t>Razvijanje fizičkih veština i zabavni cilj</t>
  </si>
  <si>
    <t>potrebno rezervisati transport i upoznati roditelje</t>
  </si>
  <si>
    <t>potrebno upoznati roditelje</t>
  </si>
  <si>
    <t xml:space="preserve"> Pionirskoj dolini</t>
  </si>
  <si>
    <t>Ekološki i obrazovni cilj</t>
  </si>
  <si>
    <t>Baščaršija</t>
  </si>
  <si>
    <t>potrebno obavijestiti roditelje</t>
  </si>
  <si>
    <t>septembar</t>
  </si>
  <si>
    <t>Kozja Ćuprija</t>
  </si>
  <si>
    <t>druženje da se obilježi početak godine</t>
  </si>
  <si>
    <t>oktobar</t>
  </si>
  <si>
    <t>Muzej Iluzija</t>
  </si>
  <si>
    <t>povezivanje učenika kroz posjetu muzeju</t>
  </si>
  <si>
    <t>novembar</t>
  </si>
  <si>
    <t>Vjerski objekti u krugu Baščaršije</t>
  </si>
  <si>
    <t>učenje o različitim religijama</t>
  </si>
  <si>
    <t>decembar</t>
  </si>
  <si>
    <t>kafa, kolač</t>
  </si>
  <si>
    <t>obilježavanje kraja polugodišta</t>
  </si>
  <si>
    <t>januar</t>
  </si>
  <si>
    <t>kuglanje</t>
  </si>
  <si>
    <t>povezivanje učenika kroz sport</t>
  </si>
  <si>
    <t>februar</t>
  </si>
  <si>
    <t>Trebević</t>
  </si>
  <si>
    <t>boravak na svježem zraku</t>
  </si>
  <si>
    <t>mart</t>
  </si>
  <si>
    <t>Vijećnica</t>
  </si>
  <si>
    <t>učenje o historiji i posjeta izložbi</t>
  </si>
  <si>
    <t>april</t>
  </si>
  <si>
    <t>povezivanje i učenje kroz film</t>
  </si>
  <si>
    <t>maj</t>
  </si>
  <si>
    <t>muzej Sarajevo '80</t>
  </si>
  <si>
    <t>učenje o Sarajevu</t>
  </si>
  <si>
    <t xml:space="preserve"> Posjeta se realizuje sa VI razredom.</t>
  </si>
  <si>
    <t>Posjeta se realizuje sa VI razredom.</t>
  </si>
  <si>
    <t>29.septembar</t>
  </si>
  <si>
    <t>Tunel spasa</t>
  </si>
  <si>
    <t>obrazovni, vaspitni, kulturoloski, patriotski</t>
  </si>
  <si>
    <t>10.oktobar</t>
  </si>
  <si>
    <t>Sajam knjiiga Skenderija</t>
  </si>
  <si>
    <t>Upznavanje ucenika s najnovijim izdanjima, razviti interes prema knjizi</t>
  </si>
  <si>
    <t>14.novembar</t>
  </si>
  <si>
    <t>Obilazak vjerskih objekata u krugu Baščaršije</t>
  </si>
  <si>
    <t>Upoznavanje ucenika s kulturno-historijskim naslijedjem, razvijanje tolerancije među ljudima</t>
  </si>
  <si>
    <t>5.decembar</t>
  </si>
  <si>
    <t>razvijanje kulture gledanja filmske umjetnosti, poticati kriticko misljenje, kao i iskustvo zabave</t>
  </si>
  <si>
    <t>13.februar</t>
  </si>
  <si>
    <t>galerija</t>
  </si>
  <si>
    <t>razvijanje kulturne svijesti i estetskog ukusa, sticanje znanja o umjetnosti, te poticanje kreativnosti</t>
  </si>
  <si>
    <t>13,mart</t>
  </si>
  <si>
    <t>pozorište</t>
  </si>
  <si>
    <t>razvijanje ljubavi prema dramskoj umjetnosti, kulturne svijesti, estetskog ukusa, te poticanje mašte</t>
  </si>
  <si>
    <t>14.april</t>
  </si>
  <si>
    <t>Muzej Sarajevo 80-ih</t>
  </si>
  <si>
    <t>uupoznavanje zivota i kulture tog perioda, te razvijanje svijesti o nasljedju i identitetu</t>
  </si>
  <si>
    <t>12.maj</t>
  </si>
  <si>
    <t>izlet na Trebević (žičara)</t>
  </si>
  <si>
    <t>upoznavanje prirodnih ljepota i značaja Trebevića, te jačanje zajedništva kroz boravak u prirodi</t>
  </si>
  <si>
    <t>potrebno organizirati transport i ulaznice</t>
  </si>
  <si>
    <t>Trebević (vožnja žičarom)</t>
  </si>
  <si>
    <t>Osnovni Cilj / Tip Aktivnosti</t>
  </si>
  <si>
    <t>Odgovorne Osobe / Podrška</t>
  </si>
  <si>
    <t>Detaljni Pedagoški Ciljevi Aktivnosti</t>
  </si>
  <si>
    <t>Babin dol, Bjelašnica</t>
  </si>
  <si>
    <t>Pozorište mladih</t>
  </si>
  <si>
    <t>Aerodrom Sarajevo</t>
  </si>
  <si>
    <t>Javorov Do, Bjelašnica</t>
  </si>
  <si>
    <t>Tim razrednika i predmetnih nastavnika</t>
  </si>
  <si>
    <t>Javorov do, Bjelašnica</t>
  </si>
  <si>
    <t>Pisanje izvještaja o sportskom danu. Analiza timskog rada na času: šta je bilo dobro, a šta se može popraviti.</t>
  </si>
  <si>
    <t>Kozja Ćuprija, Dariva</t>
  </si>
  <si>
    <t>Obrazovni, vaspitni, kulturološki, patriotski</t>
  </si>
  <si>
    <t>Pisanje refleksivnog dnevnika "Moji utisci nakon posjete Tunelu spasa". Izrada projekta "Heroji opsade" (o ljekarima, novinarima, umjetnicima...). Organizovanje humanitarne akcije u školi.</t>
  </si>
  <si>
    <t>Plan Realizacije (Okvirna satnica)</t>
  </si>
  <si>
    <t>Specifične Napomene i Resursi</t>
  </si>
  <si>
    <t>Upoznavanje sa domaćim životinjama i njihovim staništem. Razvijanje empatije prema živim bićima. Učenje o porijeklu hrane (mlijeko, jaja). Senzorna stimulacija i razvoj krupne motorike u prirodnom okruženju.</t>
  </si>
  <si>
    <t>Pjevanje pjesmica i čitanje slikovnica o domaćim životinjama. Izrada maski životinja. Razgovor o pravilima ponašanja prema životinjama (nježnost, bez vike).</t>
  </si>
  <si>
    <t>9:00 Polazak. 9:45 Dolazak, upoznavanje sa vodičem. 10:00-11:00 Obilazak farme, hranjenje životinja (ako je dozvoljeno). 11:00-11:30 Radionica (npr. mužnja). 11:30 Užina/piknik. 12:00 Igra. 12:30 Povratak.</t>
  </si>
  <si>
    <t>Modeliranje životinja od plastelina. Izrada "Zvučne slikovnice" sa onomatopejom glasanja. Crtanje omiljene životinje. Razgovor o tome šta životinje jedu i gdje žive.</t>
  </si>
  <si>
    <t>Rezervisati siguran prevoz. Provjeriti alergije djece (životinjska dlaka, polen). Osigurati da sva djeca imaju adekvatnu obuću (gumene čizme). Obavezno pranje ruku nakon kontakta sa životinjama.</t>
  </si>
  <si>
    <t>Buđenje interesa za historiju i prirodu. Upoznavanje sa konceptom muzeja kao "čuvara starih stvari". Razvijanje sposobnosti posmatranja i zapažanja detalja. Učenje pravila ponašanja u kulturnim institucijama.</t>
  </si>
  <si>
    <t>Pričanje priča o dalekoj prošlosti (dinosauri, vitezovi). Gledanje fotografija eksponata (posebno iz Prirodnjačkog odjela). Vježba "Šta sve možemo vidjeti u muzeju?".</t>
  </si>
  <si>
    <t>10:00 Polazak. 10:30 Dolazak. 10:45-11:30 Fokusirana posjeta jednom odjelu (Prirodnjački). Vođenje u formi "lova na blago" (pronađi medvjeda, pronađi leptira...). 11:45 Povratak.</t>
  </si>
  <si>
    <t>Crtanje ili bojenje omiljenog eksponata. Izrada vlastitog "mini muzeja" u kutiji za cipele. Igra pogađanja "Šta sam vidio/vidjela u muzeju?" na osnovu opisa ili crteža.</t>
  </si>
  <si>
    <t>Nabaviti ulaznice unaprijed. Posjetu vremenski ograničiti na maksimalno 45-60 minuta. Odabrati vrijeme kada nema gužve. Pripremiti djecu na pravila ponašanja (bez trčanja, tiho govorenje).</t>
  </si>
  <si>
    <t>Upoznavanje sa avionom kao prevoznim sredstvom. Razumijevanje svrhe aerodroma. Buđenje znatiželje o svijetu, putovanjima i različitim zanimanjima (pilot, stjuardesa).</t>
  </si>
  <si>
    <t>Pravljenje aviona od različitih materijala (papir, kartonske kutije). Igra uloga "Putujemo avionom" u vrtiću (pasoška kontrola, ukrcavanje). Pjevanje pjesmica o putovanju.</t>
  </si>
  <si>
    <t>10:00 Polazak. 10:30 Dolazak na vidikovac ili u zgradu terminala. 10:45-11:30 Posmatranje polijetanja i slijetanja aviona. Uočavanje različitih službi (prtljag, gorivo). 11:45 Povratak.</t>
  </si>
  <si>
    <t>Crtanje aerodroma i aviona. Konstruisanje aerodromske piste od kockica i igračaka. Pričanje priča na temu "Moje putovanje iz snova avionom".</t>
  </si>
  <si>
    <t>Potrebno je dobiti sva potrebna odobrenja od uprave aerodroma za eventualni obilazak. Zbog buke, ne zadržavati se predugo blizu piste. Osigurati da su djeca stalno na okupu i pod strogim nadzorom.</t>
  </si>
  <si>
    <t>Upoznavanje sa zanimanjem vatrogasca kao pomagača u zajednici. Učenje o važnosti vatrogasaca. Usvajanje osnovnih znanja o zaštiti od požara (opasnost od vatre, poziv na 123). Smanjivanje straha od uniformisanih lica.</t>
  </si>
  <si>
    <t>Razgovor o vatri (šta je dobro, a šta opasno). Igranje uloga "Vatrogasci gase požar". Učenje broja telefona vatrogasaca kroz pjesmicu. Čitanje priča o hrabrim vatrogascima.</t>
  </si>
  <si>
    <t>10:00 Polazak. 10:15 Dolazak. 10:30-11:15 Razgledanje vatrogasnog vozila i opreme. Razgovor sa vatrogascima. Demonstracija korištenja opreme (npr. šmrk sa vodom, sirena). 11:30 Povratak.</t>
  </si>
  <si>
    <t>Crtanje vatrogasnog kamiona. Izrada vatrogasnih kaciga od kartona. Praktična vježba: "Šta radimo ako vidimo dim?" (zovnemo odrasle).</t>
  </si>
  <si>
    <t>Unaprijed najaviti posjetu i dogovoriti tačan termin i protokol. Osigurati da se djeca ne penju na vozila i ne diraju opremu bez izričite dozvole i nadzora vatrogasaca.</t>
  </si>
  <si>
    <t>Brus, Trebević</t>
  </si>
  <si>
    <t>Uočavanje promjena u prirodi s dolaskom proljeća. Razvijanje ljubavi prema prirodi i boravku na otvorenom. Podsticanje istraživačkog duha kroz sakupljanje prirodnih materijala. Razvoj krupne motorike.</t>
  </si>
  <si>
    <t>Razgovor o proljeću i njegovim vjesnicima (visibabe, ptičice). Sakupljanje slika ili crtanje biljaka i životinja koje se bude u proljeće. Učenje pjesmica o proljeću.</t>
  </si>
  <si>
    <t>9:30 Polazak. 10:00 Dolazak. 10:15-11:15 Šetnja prirodom i posmatranje promjena (pupoljci, cvijeće). Sakupljanje prirodnih materijala. 11:15-12:00 Igre na igralištu i užina. 12:15 Povratak.</t>
  </si>
  <si>
    <t>Izrada herbarija od sakupljenog lišća i cvijeća. Pravljenje kolaža od prirodnih materijala. Razgovor o onome što su vidjeli i doživjeli, koristeći sva čula (šta su čuli, pomirisali...).</t>
  </si>
  <si>
    <t>Rezervisati prevoz. Provjeriti vremensku prognozu i obavijestiti roditelje o potrebnoj slojevitoj odjeći i obući. Ponijeti prvu pomoć i provjeriti ima li krpelja nakon povratka.</t>
  </si>
  <si>
    <t>Upoznavanje sa različitim životinjskim vrstama. Razvijanje svijesti o potrebi zaštite životinja i njihovih staništa. Učenje o ishrani i navikama životinja na djeci primjeren način.</t>
  </si>
  <si>
    <t>Imitiranje glasanja i kretanja životinja. Čitanje slikovnica o životinjama. Pravljenje liste životinja koje bi voljeli vidjeti. Razgovor o pravilima ponašanja u ZOO vrtu.</t>
  </si>
  <si>
    <t>10:00 Polazak. 10:30 Dolazak. 10:45-12:00 Organizovani obilazak zoološkog vrta. Fokus na životinje koje su djeci poznate. Posmatranje hranjenja životinja (ako je moguće). 12:00 Užina i odmor. 12:30 Povratak.</t>
  </si>
  <si>
    <t>Izrada maski omiljenih životinja. Pravljenje zajedničkog plakata "Naš dan u ZOO vrtu". Igra pogađanja životinja na osnovu opisa ("Imam dugačak vrat, ko sam ja?").</t>
  </si>
  <si>
    <t>Rezervisati prevoz. Osigurati stalan i pojačan nadzor nad djecom. Jasno i više puta ponoviti djeci da ne smiju hraniti životinje niti stavljati ruke u kaveze. Planirati pauze za odmor.</t>
  </si>
  <si>
    <t>Razvoj krupne i sitne motorike kroz igru na spravama. Jačanje socijalnih vještina (saradnja, dijeljenje, čekanje na red, rješavanje konflikata). Podsticanje kreativnosti, mašte i simboličke igre.</t>
  </si>
  <si>
    <t>Razgovor o pravilima ponašanja u igraonici (dijelimo igračke, ne guramo se). Dogovor o važnosti međusobnog pomaganja i zajedničke igre.</t>
  </si>
  <si>
    <t>10:00 Polazak. 10:30 Dolazak, priprema (skidanje obuće, odlazak u toalet). 10:45-12:00 Slobodna i usmjerena igra u sigurnom i podsticajnom okruženju, uz stalni nadzor odgajatelja. 12:15 Povratak.</t>
  </si>
  <si>
    <t>Razgovor u krugu o tome čega su se najljepše igrali. Crtanje omiljenog kutka ili sprave iz igraonice.</t>
  </si>
  <si>
    <t>Rezervisati prevoz i termin u igraonici. Provjeriti higijenske i sigurnosne standarde igraonice. Osigurati dovoljan broj odgajatelja za nadzor. Podsjetiti roditelje na prikladnu odjeću (trenerke, čarapice).</t>
  </si>
  <si>
    <t>Park Ravne, Visoko</t>
  </si>
  <si>
    <t>Istraživanje prirodnog šumskog okruženja svim čulima. Podsticanje ekološke svijesti. Razvoj motorike kroz kretanje na otvorenom i igru. Proslava kraja godine i zajedničko druženje.</t>
  </si>
  <si>
    <t>Pričanje priča o šumama, prirodi i prijateljstvu. Učenje o važnosti čistog zraka i očuvanja drveća. Priprema za piknik (dogovor šta će ko ponijeti).</t>
  </si>
  <si>
    <t>9:00 Polazak. 10:00 Dolazak. 10:15-11:15 Šetnja uređenim stazama parka i istraživanje prirode. 11:15-12:00 Piknik i slobodna igra na igralištu. 12:15 Podjela diploma za kraj godine. 12:45 Povratak.</t>
  </si>
  <si>
    <t>Izrada umjetničkih radova od prirodnih materijala sakupljenih u parku. Vježbe disanja i relaksacije. Razgovor o najljepšim trenucima iz protekle godine.</t>
  </si>
  <si>
    <t>Rezervisati prevoz. Osigurati adekvatnu obuću za šetnju. Ponijeti dovoljne količine vode i sredstva protiv insekata. Posjetu tunelima izostaviti kao neprimjerenu za uzrast, fokusirati se isključivo na park i igralište.</t>
  </si>
  <si>
    <t>Druženje, sladoled (Lokalni park/šetalište)</t>
  </si>
  <si>
    <t>Jačanje grupne kohezije na početku školovanja. Razvijanje socijalnih vještina i komunikacije. Usvajanje pravila ponašanja na javnom mjestu i u saobraćaju. Razvijanje osjećaja pripadnosti grupi.</t>
  </si>
  <si>
    <t>Razgovor o pravilima ponašanja u grupi i na ulici (formiranje kolone, kretanje u paru). Crtanje na temu "Moji novi drugari". Podjela u parove ("drugari za šetnju") radi jačanja odgovornosti.</t>
  </si>
  <si>
    <t>10:00 Okupljanje. 10:15 Pješačenje do parka uz vježbanje kretanja u koloni. 10:30-11:15 Organizovane igre za podsticanje timskog rada. 11:30 Odlazak na sladoled. 12:15 Povratak u školu.</t>
  </si>
  <si>
    <t>Na času odjeljenske zajednice, razgovor o tome kako su se osjećali i šta su novo naučili o drugarima. Izrada zajedničkog plakata "Naš prvi izlet" sa crtežima i fotografijama.</t>
  </si>
  <si>
    <t>Nije potreban transport. Provjeriti alergije učenika na sastojke sladoleda. Osigurati omjer odraslih i djece 1:6. Ponijeti pribor za prvu pomoć, vodu i vlažne maramice.</t>
  </si>
  <si>
    <t>Selma Mujanović, Semra Isanović, Sunita Kaikčija, Aras Samardžija (i ostali nastavnici po potrebi)</t>
  </si>
  <si>
    <t>Razvoj krupne motorike u prirodnom okruženju. Podsticanje zdravog načina života i boravka u prirodi. Učenje o fair-playu i timskom duhu. Razvijanje ekološke svijesti i poštovanja prema prirodi.</t>
  </si>
  <si>
    <t>Razgovor o važnosti fizičke aktivnosti i očuvanja planina. Upoznavanje sa planiranim igrama. Podsjetnik roditeljima (pismeno) o adekvatnoj slojevitoj odjeći, obući, užini i vodi.</t>
  </si>
  <si>
    <t>9:00 Polazak (2 autobusa). 10:00 Dolazak, zagrijavanje. 10:30-12:30 Sportske igre po stanicama (štafete, poligon, igre s loptom). 12:30 Ručak. 13:30 Slobodne aktivnosti uz nadzor. 14:30 Povratak.</t>
  </si>
  <si>
    <t>Pismeni sastav ili crtež na temu "Dan na planini". Diskusija o tome koja im se igra najviše svidjela. Izrada panoa sa fotografijama.</t>
  </si>
  <si>
    <t>Obavezno rezervisati licencirane autobuse. Zbog velikog broja, osigurati minimalno 1 nastavnika na 10-12 učenika. Jasno definisati i označiti prostor za igru. Ponijeti megafon i prvu pomoć.</t>
  </si>
  <si>
    <t>Razvijanje kulturne svijesti i navike odlaska u pozorište. Učenje pravila ponašanja na kulturnim događajima. Razvoj mašte, empatije i sposobnosti praćenja naracije.</t>
  </si>
  <si>
    <t>Čitanje ili prepričavanje priče/bajke na osnovu koje se gleda predstava. Razgovor o ponašanju u pozorištu (tišina, aplauz). Upoznavanje sa pojmovima: glumac, scena, publika, kostim.</t>
  </si>
  <si>
    <t>Okupljanje 30 min. prije predstave. Gledanje predstave. Nakon predstave, kratak razgovor o utiscima. Mogućnost kratkog susreta sa glumcima ako pozorište dozvoljava. Povratak u školu.</t>
  </si>
  <si>
    <t>Diskusija o predstavi: likovi, poruka, šta im se najviše dopalo. Dramatizacija omiljene scene na času. Crtanje likova ili scene iz predstave.</t>
  </si>
  <si>
    <t>Odrediti predstavu primjerenu uzrastu. Nabaviti ulaznice unaprijed. Obavijestiti roditelje o tačnom vremenu povratka. Osigurati pratnju u skladu sa pravilnikom škole.</t>
  </si>
  <si>
    <t>Sarajevska zima (Galerija Collegium Artisticum ili sl.)</t>
  </si>
  <si>
    <t>Upoznavanje sa kulturnim manifestacijama u gradu. Razvijanje estetskog ukusa i doživljaja umjetnosti (boje, oblici). Doživljaj praznične atmosfere kroz umjetnost.</t>
  </si>
  <si>
    <t>Istraživanje programa "Sarajevske zime" i odabir izložbe prilagođene djeci. Razgovor o različitim vrstama umjetnosti (slika, skulptura). Vježba "Šta osjećam dok gledam ovu sliku?".</t>
  </si>
  <si>
    <t>Posjeta jednoj od izložbi. Vođena tura prilagođena uzrastu, fokus na interaktivna pitanja ("Koje boje vidiš?", "Na šta te ovo podsjeća?"). Posjeta ne duža od 45 minuta.</t>
  </si>
  <si>
    <t>Izrada vlastitih umjetničkih radova inspirisanih posjetom (tehnika po izboru). Razgovor o osjećajima koje je umjetnost probudila kod njih. Pravljenje razredne mini-izložbe.</t>
  </si>
  <si>
    <t>Provjeriti da li je sadržaj izložbe primjeren uzrastu. Nabaviti ulaznice ako su potrebne. Dogovoriti siguran prevoz. Pripremiti učenike na pravila ponašanja u galeriji.</t>
  </si>
  <si>
    <t>Upoznavanje sa funkcionisanjem aerodroma i zanimanjima vezanim za avio-saobraćaj. Razumijevanje procesa putovanja avionom. Podsticanje znatiželje o svijetu i putovanjima.</t>
  </si>
  <si>
    <t>Gledanje edukativnih filmova o aerodromima. Izrada modela aviona. Igra uloga "Putujemo avionom". Priprema pitanja za zaposlenike aerodroma ("Koliko brzo leti avion?").</t>
  </si>
  <si>
    <t>Organizovana tura: obilazak putničkog terminala, posmatranje procedure prijave na let. Posmatranje polijetanja i slijetanja sa sigurne pozicije. Razgovor sa nekim od zaposlenika.</t>
  </si>
  <si>
    <t>Igra uloga "Na aerodromu". Crtanje ili pisanje o posjeti. Kviz znanja o aerodromu. Izrada slikovnog rječnika (avion, pilot, pasoš, karta).</t>
  </si>
  <si>
    <t>Obavezno dobiti sva potrebna odobrenja od uprave aerodroma i granične policije. Strogo poštovanje sigurnosnih procedura. Osigurati da su djeca stalno na okupu i pod nadzorom.</t>
  </si>
  <si>
    <t>Školski Iftar</t>
  </si>
  <si>
    <t>11+ (učenici i roditelji)</t>
  </si>
  <si>
    <t>Tim nastavnika i Vijeće roditelja</t>
  </si>
  <si>
    <t>Razvijanje interkulturalne svijesti i poštovanja prema različitim običajima. Jačanje zajedništva unutar odjeljenja i škole. Učenje o tradiciji i vrijednostima zajedništva i dijeljenja.</t>
  </si>
  <si>
    <t>Razgovor o Ramazanu i običaju iftara na način primjeren uzrastu i inkluzivan za sve učenike. Uključiti učenike u pripremu dekoracija za prostor gdje će biti iftar (izrada fenjera od papira i sl.).</t>
  </si>
  <si>
    <t>Zajedničko postavljanje stola. Iftar. Druženje uz prigodne priče, ilahije ili igre nakon iftara. Uključivanje roditelja u organizaciju i prisustvo.</t>
  </si>
  <si>
    <t>Na času odjeljenske zajednice, razgovor o iskustvu: kako su se osjećali, šta im se svidjelo. Izrada zahvalnica za roditelje i sve koji su pomogli u organizaciji.</t>
  </si>
  <si>
    <t>Odrediti lokaciju u školi. Uvažiti i uključiti roditelje. Voditi računa o eventualnim alergijama na hranu. Kreirati toplu i inkluzivnu atmosferu za svu djecu i roditelje, bez obzira na vjersku pripadnost.</t>
  </si>
  <si>
    <t>Razvijanje ljubavi prema knjizi i čitanju. Upoznavanje sa svijetom izdavaštva. Mogućnost susreta sa piscima za djecu. Učenje kako se bira i kupuje knjiga.</t>
  </si>
  <si>
    <t>Razgovor o omiljenim knjigama. Izrada vlastitih bookmarkera. Pismo roditeljima sa preporukom o džeparcu za kupovinu knjige. Vježbanje postavljanja pitanja piscima.</t>
  </si>
  <si>
    <t>Organizovano kretanje kroz sajam. Posjeta štandovima sa dječijom literaturom. Učešće na radionici za djecu. Kupovina knjiga uz pomoć učiteljice.</t>
  </si>
  <si>
    <t>Predstavljanje kupljenih knjiga u razredu. Organizovanje kutka za čitanje sa novim knjigama. Crtanje naslovnice za svoju izmišljenu knjigu.</t>
  </si>
  <si>
    <t>Dogovoriti tačno mjesto i vrijeme sastanka u slučaju da se neko izgubi. Dati učenicima jasne upute o ponašanju u gužvi. Podsticati samostalnost, ali uz pedagoško usmjeravanje.</t>
  </si>
  <si>
    <t>Muzej (npr. Muzej djetinjstva ili Prirodnjački odjel Zemaljskog muzeja)</t>
  </si>
  <si>
    <t>Upoznavanje sa konceptom muzeja. Učenje o prošlosti i kulturnom naslijeđu na interaktivan način. Razvijanje poštovanja prema starim predmetima i historiji.</t>
  </si>
  <si>
    <t>Razgovor o tome šta su muzeji i šta se u njima čuva. Vježba "Šta bih ja stavio u muzej?". Priprema učenika za pravila ponašanja u muzeju.</t>
  </si>
  <si>
    <t>Odabrati muzej sa postavkom primjerenom uzrastu. Angažovati kustosa-pedagoga za vođenje. Fokusirati se na najzanimljivije eksponate. Posjeta ne duža od 60 minuta.</t>
  </si>
  <si>
    <t>Likovna radionica na temu "Moj omiljeni predmet iz muzeja". Izrada razredne "muzejske postavke" od predmeta koje donesu od kuće i opišu zašto su im važni.</t>
  </si>
  <si>
    <t>Nabaviti ulaznice. Provjeriti da li muzej nudi pedagoške radionice. Naglasiti važnost tihog i pažljivog kretanja bez dodirivanja eksponata.</t>
  </si>
  <si>
    <t>Razvijanje medijske pismenosti (razumijevanje priče kroz sliku i zvuk). Analiza animiranog filma (likovi, radnja, poruka). Učenje pravila ponašanja u kinu. Jačanje zajedništva kroz zabavnu aktivnost.</t>
  </si>
  <si>
    <t>Razgovor o razlikama između filma i pozorišta. Gledanje trailera za film koji će se gledati. Diskusija o očekivanjima. Razgovor o ponašanju u kinu (bez priče, bez telefona).</t>
  </si>
  <si>
    <t>Odlazak u kino. Gledanje animiranog filma sa pozitivnom i jasnom porukom. Kratak razgovor nakon filma uz sok i kokice.</t>
  </si>
  <si>
    <t>Kritički osvrt na film na času: šta nam se svidjelo, a šta ne i zašto. Crtanje omiljenog lika ili scene. Pisanje ili crtanje drugačijeg kraja filma.</t>
  </si>
  <si>
    <t>Odrediti film sa pedagoškom vrijednošću i bez neprimjerenog sadržaja (provjeriti rating). Kupiti karte unaprijed. Osigurati nadzor tokom projekcije.</t>
  </si>
  <si>
    <t>Razvijanje medijske pismenosti. Analiza elemenata filma (radnja, likovi, poruka). Učenje o razlici između književnog djela i filmske adaptacije. Utvrđivanje pravila ponašanja u kinu.</t>
  </si>
  <si>
    <t>Čitanje knjige po kojoj je snimljen film (ako postoji). Diskusija o očekivanjima. Analiza filmskog plakata i trailera.</t>
  </si>
  <si>
    <t>Gledanje filma primjerenog uzrastu. Organizovani razgovor nakon projekcije o utiscima, glavnim porukama i razlici u odnosu na pročitano.</t>
  </si>
  <si>
    <t>Pravljenje "filmske kritike" (pismeno ili usmeno). Uporedna analiza knjige i filma kroz Vennov dijagram. Crtanje stripa po uzoru na film.</t>
  </si>
  <si>
    <t>Potrebno provjeriti projekcije i odabrati film sa edukativnom vrijednošću. Rezervisati i kupiti karte. Dobiti pismenu saglasnost roditelja.</t>
  </si>
  <si>
    <t>Jačanje razrednog i školskog zajedništva. Razvijanje ekološke svijesti i ljubavi prema planini. Podsticanje zdravih životnih navika kroz pješačenje. Učenje o osnovama snalaženja u prirodi.</t>
  </si>
  <si>
    <t>Razgovor o biljnom i životinjskom svijetu Bjelašnice. Učenje o pravilima ponašanja u prirodi. Priprema za pješačenje (oprema, važnost vode). Podjela u grupe sa zaduženjima (ekološka patrola i sl.).</t>
  </si>
  <si>
    <t>Pješačenje prilagođenom stazom. Pauze za edukaciju o flori i fauni. Piknik. Organizacija sportskih igara na livadi (fudbal, igre bez granica). Akcija sakupljanja lišća za herbarij.</t>
  </si>
  <si>
    <t>Pisanje sastava o izletu. Izrada razrednog herbarija. Izložba fotografija sa izleta. Diskusija o važnosti očuvanja prirode.</t>
  </si>
  <si>
    <t>Angažovati iskusne vodiče. Provjeriti vremensku prognozu. Svi učenici moraju imati adekvatnu obuću. Obezbijediti ručak i prevoz. Ponijeti opremu za prvu pomoć.</t>
  </si>
  <si>
    <t>Upoznavanje sa bogatstvom historijskog i prirodnog naslijeđa BiH. Razvijanje sposobnosti kritičkog posmatranja i postavljanja pitanja. Učenje o ulozi muzeja u očuvanju baštine.</t>
  </si>
  <si>
    <t>Virtualna šetnja muzejom putem web stranice. Podjela učenika u grupe, svaka grupa dobija zadatak da obrati pažnju na određeni dio postavke (npr. životinje, stari nakit, odjeća).</t>
  </si>
  <si>
    <t>Vođena tura sa kustosom, sa fokusom na etnološki i prirodnjački odjel. Učenici postavljaju unaprijed pripremljena pitanja. Samostalni rad u grupama (pronađi eksponat).</t>
  </si>
  <si>
    <t>Svaka grupa prezentuje šta je najzanimljivije vidjela. Izrada vremenske lente sa najvažnijim historijskim periodima. Izrada makete stećka ili tradicionalne bosanske kuće.</t>
  </si>
  <si>
    <t>Potrebno obavijestiti roditelje i rezervisati ulaznice. Pripremiti učenike na pravila ponašanja i važnost tišine u muzeju.</t>
  </si>
  <si>
    <t>Podsticanje logičkog razmišljanja i percepcije. Učenje o optičkim iluzijama na zabavan i interaktivan način. Razvijanje kritičkog mišljenja ("da li je sve onako kako izgleda?").</t>
  </si>
  <si>
    <t>Razgovor o čulima, posebno čulu vida. Gledanje primjera jednostavnih optičkih iluzija. Rješavanje logičkih pitalica i zagonetki.</t>
  </si>
  <si>
    <t>Interaktivni obilazak muzeja. Učestvovanje u svim dostupnim instalacijama i didaktičkim igrama. Podsticanje timskog rada na rješavanju zagonetki. Fotografisanje.</t>
  </si>
  <si>
    <t>Radionica crtanja optičkih iluzija. Diskusija "Koja iluzija vas je najviše zbunila i zašto?". Pisanje kratke priče "Dan u svijetu naopačke".</t>
  </si>
  <si>
    <t>Potrebno obavijestiti roditelje i rezervisati ulaznice. Zbog interaktivne prirode muzeja, potrebna je pojačana pažnja i organizacija kretanja grupe.</t>
  </si>
  <si>
    <t>Razvijanje ljubavi prema pozorišnoj umjetnosti. Analiza predstave (gluma, scenografija, kostimi). Podsticanje emocionalne inteligencije kroz poistovjećivanje s likovima i njihovim dilemama.</t>
  </si>
  <si>
    <t>Upoznavanje sa sadržajem predstave. Razgovor o pozorišnim profesijama (glumac, reditelj, scenograf). Vježbe glume i improvizacije na času.</t>
  </si>
  <si>
    <t>Gledanje predstave. Nakon predstave, organizovati kratak razgovor sa glumcima ili rediteljem, ako pozorište nudi tu mogućnost.</t>
  </si>
  <si>
    <t>Pisanje recenzije predstave. Izrada lutaka i dramatizacija odabranih scena. Diskusija o moralnim dilemama i porukama iz predstave.</t>
  </si>
  <si>
    <t>Provjeriti repertoar i odabrati predstavu primjerenu uzrastu. Rezervisati ulaznice na vrijeme.</t>
  </si>
  <si>
    <t>Čas čitanja (Goethe Institut)</t>
  </si>
  <si>
    <t>Upoznavanje biblioteka i promocija čitanja</t>
  </si>
  <si>
    <t>Promocija čitanja i upoznavanje sa njemačkim jezikom i kulturom na zanimljiv način. Razvijanje vještine slušanja sa razumijevanjem. Upoznavanje sa konceptom i radom stranih kulturnih centara.</t>
  </si>
  <si>
    <t>Razgovor o Njemačkoj (poznati gradovi, bajke braće Grimm). Učenje nekoliko osnovnih riječi na njemačkom jeziku (pozdravi, hvala). Priprema pitanja za domaćine.</t>
  </si>
  <si>
    <t>Aktivno učešće na organizovanom času čitanja u institutu. Razgledanje biblioteke. Interaktivne igre vezane za pročitanu priču.</t>
  </si>
  <si>
    <t>Prepričavanje pročitane priče. Ilustrovanje priče. Istraživanje o drugim njemačkim piscima za djecu. Pisanje pisma zahvalnosti institutu.</t>
  </si>
  <si>
    <t>Potrebno kontaktirati biblioteku/institut i dogovoriti termin. Pripremiti učenike za interakciju, ohrabriti ih da se ne stide koristiti nove riječi.</t>
  </si>
  <si>
    <t>Upoznavanje sa kulturno-historijskim jezgrom grada. Učenje o starim zanatima. Razvijanje orijentacije u prostoru. Jačanje lokalnog identiteta i osjećaja pripadnosti gradu.</t>
  </si>
  <si>
    <t>Virtualna šetnja Baščaršijom pomoću mapa. Istraživanje o najvažnijim znamenitostima (Sebilj, Begova džamija, Sahat-kula). Priprema zadataka za "lov na blago".</t>
  </si>
  <si>
    <t>Organizovana šetnja sa zadacima (npr. "pronađi ulicu Kazandžiluk", "prebroj golubove kod Sebilja"). Posjeta jednoj zanatskoj radnji i razgovor sa zanatlijom. Pauza za čaj i somun.</t>
  </si>
  <si>
    <t>Izrada mape Baščaršije sa ucrtanim znamenitostima. Pisanje reportaže o posjeti. Izrada suvenira inspirisanog starim zanatima (npr. oslikavanje fildžana).</t>
  </si>
  <si>
    <t>Potrebno obavijestiti roditelje. Definisati rutu kretanja. Dogovoriti mjesto sastanka u slučaju gubljenja. Ponoviti pravila ponašanja u saobraćaju i na javnom mjestu.</t>
  </si>
  <si>
    <t>Podsticanje samostalnog odabira literature. Razvijanje komunikacije sa prodavačima/izdavačima. Učenje o vrijednosti novca i planiranju kupovine. Upoznavanje sa novitetima u dječijoj književnosti.</t>
  </si>
  <si>
    <t>Pravljenje liste želja (knjige koje bi voljeli kupiti). Određivanje budžeta za kupovinu. Razgovor o različitim žanrovima (pustolovni, naučno-fantastični, enciklopedije).</t>
  </si>
  <si>
    <t>Slobodno vrijeme za razgledanje štandova uz nadzor. Preporuka učenicima da posjete štandove sa dječijom literaturom. Prisustvovanje jednoj promociji dječije knjige (ako ima).</t>
  </si>
  <si>
    <t>Organizovanje "malog sajma knjiga" u razredu gdje svako predstavlja knjigu koju je kupio. Pisanje preporuka za čitanje za drugare iz razreda.</t>
  </si>
  <si>
    <t>Potrebno obavijestiti roditelje (o terminu i džeparcu). Dogovoriti pravila ponašanja u gužvi i mjesto sastanka. Učenicima dati zadatak da sami pitaju za cijenu i obave kupovinu.</t>
  </si>
  <si>
    <t>Doživljaj grada iz druge perspektive. Razvijanje svijesti o važnosti planina oko Sarajeva. Prevazilaženje eventualnog straha od visine. Rekreacija i jačanje razrednog zajedništva u prirodi.</t>
  </si>
  <si>
    <t>Razgovor o historiji trebevićke žičare. Gledanje snimaka vožnje i panorame sa Trebevića. Razgovor o sigurnosti tokom vožnje. Učenje o stranama svijeta i orijentaciji.</t>
  </si>
  <si>
    <t>Vožnja žičarom. Sa vidikovca, identifikacija poznatih objekata u gradu (Vijećnica, Katedrala...). Šetnja uređenim stazama. Igre na otvorenom (frizbi, lopta). Piknik.</t>
  </si>
  <si>
    <t>Likovni radovi na temu "Sarajevo sa visine". Pisanje pjesme o Trebeviću. Geografski zadatak: ucrtati Trebević na pojednostavljenu kartu Sarajeva i označiti objekte koje su vidjeli.</t>
  </si>
  <si>
    <t>Potrebno obavijestiti roditelje i obezbijediti karte za žičaru. Provjeriti vremensku prognozu i osigurati adekvatnu odjeću. Ponijeti prvu pomoć.</t>
  </si>
  <si>
    <t>Upoznavanje sa životinjskim svijetom (domaće i divlje životinje). Razvijanje empatije i odgovornosti prema životinjama. Rekreacija i igra na otvorenom kao proslava kraja školske godine.</t>
  </si>
  <si>
    <t>Svaki učenik dobija zadatak da istraži jednu životinju koja živi u Pionirskoj dolini i pripremi kratko izlaganje o njoj (čime se hrani, gdje živi).</t>
  </si>
  <si>
    <t>Obilazak zoološkog vrta, pri čemu učenici prezentuju "svoju" životinju pred njenim staništem. Igra na igralištima. Zajednički ručak ili sladoled.</t>
  </si>
  <si>
    <t>Kviz znanja o životinjama. Izrada maski ili lutaka životinja. Diskusija o ugroženim vrstama i zaštiti životinja. Sumiranje utisaka iz drugog razreda.</t>
  </si>
  <si>
    <t>Potrebno obavijestiti roditelje i rezervisati ulaznice. Isplanirati rutu kretanja. Podsjetiti učenike na pravila ponašanja (bez hranjenja životinja, bez vike).</t>
  </si>
  <si>
    <t>Razvoj timskog duha i sportskog ponašanja. Podizanje svijesti o važnosti očuvanja planinskih ekosistema. Razvoj izdržljivosti, motorike i promocija zdravog takmičarskog duha.</t>
  </si>
  <si>
    <t>Upoznavanje sa florom i faunom Bjelašnice. Planiranje sportskih aktivnosti i demokratska podjela u timove. Razgovor o fair-playu i važnosti učešća.</t>
  </si>
  <si>
    <t>Pješačenje do Javorovog dola. Organizacija mini-olimpijade (trčanje, skok u dalj, bacanje šišarke u metu). Timski sportovi (fudbal, odbojka na travi). Vježbe istezanja. Dodjela simboličnih diploma za trud i fair-play.</t>
  </si>
  <si>
    <t>Potrebno rezervisati transport, pripremiti rekvizite, obezbijediti ručak i dovoljne količine vode. Angažovati profesore tjelesnog odgoja za vođenje. Ponijeti prvu pomoć.</t>
  </si>
  <si>
    <t>Razvijanje kritičkog mišljenja i medijske pismenosti. Analiza filmskog jezika (kadar, muzika, efekti). Poređenje različitih filmskih žanrova.</t>
  </si>
  <si>
    <t>Gledanje isječaka iz različitih filmskih žanrova (komedija, avantura). Učenje osnovnih filmskih pojmova. Čitanje knjige ukoliko se radi o filmskoj adaptaciji.</t>
  </si>
  <si>
    <t>Gledanje odabranog filma. Vođena diskusija nakon filma o porukama, likovima, i onome što film čini dobrim ili lošim.</t>
  </si>
  <si>
    <t>Pisanje filmske recenzije sa argumentima. Snimanje kratke filmske scene mobilnim telefonom (vježba kadriranja). Izrada uporedne analize "Knjiga vs. Film".</t>
  </si>
  <si>
    <t>Potrebno provjeriti projekcije u kinu i odabrati film koji potiče na razmišljanje. Upoznati roditelje i rezervisati ulaznice.</t>
  </si>
  <si>
    <t>Bembaša / Dariva</t>
  </si>
  <si>
    <t>Upoznavanje sa historijskim dijelom grada i rijekom Miljackom. Podsticanje zdravih navika kroz pješačenje. Razvoj ekološke svijesti o važnosti očuvanja rijeka i okoliša.</t>
  </si>
  <si>
    <t>Istraživanje o historiji Bembaše i Darive. Razgovor o ekologiji rijeke Miljacke i problemu zagađenja. Planiranje rute za šetnju.</t>
  </si>
  <si>
    <t>Šetnja od Vijećnice do Bembaše. Organizovanje male ekološke akcije (npr. sakupljanje smeća uz rukavice). Čas u prirodi na temu važnosti vode za život.</t>
  </si>
  <si>
    <t>Izrada plakata na temu "Čuvajmo naše rijeke". Pisanje pjesama ili priča inspirisanih Miljackom. Akcija podizanja svijesti o ekologiji u školi.</t>
  </si>
  <si>
    <t>Potrebno obavijestiti roditelje i rezervisati transport (po potrebi). Provjeriti vremensku prognozu. Osigurati sigurnost učenika prilikom kretanja blizu rijeke.</t>
  </si>
  <si>
    <t>Razvijanje mašte i kreativnosti kroz pozorišnu umjetnost. Učenje o neverbalnoj komunikaciji (mimika, gesta). Jačanje samopouzdanja kroz dramske vježbe.</t>
  </si>
  <si>
    <t>Čitanje dramskog teksta ili sadržaja predstave. Radionica "Pozorište sjena". Izrada jednostavnih kostima i rekvizita za igranje uloga u učionici.</t>
  </si>
  <si>
    <t>Gledanje predstave. Fokus na glumu i scenski pokret. Razgovor sa osobljem pozorišta o procesu stvaranja predstave (ako je moguće).</t>
  </si>
  <si>
    <t>Organizovanje "Dana teatra" u razredu, gdje učenici izvode kratke scene koje su sami osmislili. Davanje i primanje konstruktivne povratne informacije (peer feedback).</t>
  </si>
  <si>
    <t>Potrebno provjeriti repertoar i odabrati predstavu koja je vizuelno i sadržajno bogata. Upoznati roditelje i rezervisati ulaznice.</t>
  </si>
  <si>
    <t>Podsticanje apstraktnog i divergentnog mišljenja. Razumijevanje naučnih principa iza iluzija (fizika, psihologija). Razvoj vještina rješavanja problema kroz didaktičke igre.</t>
  </si>
  <si>
    <t>Rješavanje zagonetki i pitalica koje se baziraju na logici i percepciji. Pravljenje vlastitih jednostavnih iluzija (npr. thaumatrope).</t>
  </si>
  <si>
    <t>Posjeta muzeju sa fokusom na rješavanje didaktičkih igara i zagonetki. Podsticanje timskog rada u rješavanju problema.</t>
  </si>
  <si>
    <t>Organizovanje takmičenja u rješavanju mozgalica u razredu. Projektni zadatak: Osmisli i napravi vlastitu iluziju i prezentuj je razredu.</t>
  </si>
  <si>
    <t>Potrebno obavijestiti roditelje i provjeriti vremensku prognozu. Rezervisati termin unaprijed da se izbjegne gužva.</t>
  </si>
  <si>
    <t>Čas čitanja (EU-biblioteka Sarajevo ili Goethe Institut)</t>
  </si>
  <si>
    <t>Promocija multikulturalnosti i višejezičnosti. Upoznavanje sa konceptom i radom međunarodnih kulturnih institucija. Razvijanje poštovanja prema drugim kulturama i jezicima.</t>
  </si>
  <si>
    <t>Istraživanje o zemlji/zemljama koje institut predstavlja. Učenje osnovnih fraza na stranom jeziku. Priprema pitanja za domaćine o kulturi, običajima i jeziku.</t>
  </si>
  <si>
    <t>Aktivno učešće u času čitanja. Postavljanje pitanja. Razgledanje prostora i resursa biblioteke. Učešće u interaktivnoj radionici.</t>
  </si>
  <si>
    <t>Izrada dvojezičnog rječnika sa riječima naučenim tokom posjete. Pisanje pisma zahvalnosti institutu. Prezentacija o zemlji čiji su institut posjetili.</t>
  </si>
  <si>
    <t>Potrebno kontaktirati biblioteku/institut, najaviti posjetu i dogovoriti interaktivni sadržaj. Ohrabriti učenike na komunikaciju.</t>
  </si>
  <si>
    <t>Razvijanje fizičkih vještina i zabavni cilj</t>
  </si>
  <si>
    <t>Promocija timskog sporta i individualnih atletskih vještina. Korištenje javnih sportskih resursa u gradu. Razvijanje svijesti o važnosti redovne fizičke aktivnosti za zdravlje.</t>
  </si>
  <si>
    <t>Upoznavanje sa različitim sportskim disciplinama koje centar nudi. Teorijska priprema (pravila igara, tehnike zagrijavanja). Podjela u timove.</t>
  </si>
  <si>
    <t>Organizacija treninga uz stručnog trenera (npr. atletika, osnove košarke). Korištenje sprava u parku za vježbanje. Timsko takmičenjanje u dogovorenoj disciplini.</t>
  </si>
  <si>
    <t>Izrada ličnog plana vježbanja. Pisanje o omiljenom sportu i sportisti. Praćenje ličnog napretka u nekoj vještini (npr. brzina trčanja, broj skokova).</t>
  </si>
  <si>
    <t>Potrebno rezervisati transport i upoznati roditelje. Osigurati adekvatnu sportsku opremu. Planirati aktivnosti u skladu sa mogućnostima svih učenika. Ponijeti prvu pomoć.</t>
  </si>
  <si>
    <t>Upoznavanje sa novitetima u dječijoj književnosti. Razvijanje vještine pretraživanja informacija (pronalaženje određenog štanda ili autora). Mogućnost susreta sa književnicima.</t>
  </si>
  <si>
    <t>Svaki učenik bira jednog domaćeg autora za djecu, istražuje o njemu i priprema pitanje koje bi mu postavio da ga sretne.</t>
  </si>
  <si>
    <t>Ciljana posjeta štandovima domaćih izdavača. Prisustvovanje promociji jedne dječije knjige ili susretu sa autorom. Samostalna kupovina knjige.</t>
  </si>
  <si>
    <t>Pisanje izvještaja o susretu sa piscem. Organizovanje kluba čitalaca u razredu. Pravljenje razredne top liste najpoželjnijih knjiga sa sajma.</t>
  </si>
  <si>
    <t>Potrebno upoznati roditelje (o terminu i džeparcu). Provjeriti program sajma i isplanirati posjetu u skladu sa terminima promocija za djecu.</t>
  </si>
  <si>
    <t>Učenje o biodiverzitetu, ugroženim vrstama i važnosti zooloških vrtova u njihovom očuvanju. Razvijanje vještina posmatranja i bilježenja podataka. Razlikovanje domaćih i divljih životinja.</t>
  </si>
  <si>
    <t>Istraživanje o ugroženim vrstama u BiH i svijetu. Priprema "istraživačkih dnevnika" za bilješke i crteže tokom posjete. Podjela istraživačkih zadataka.</t>
  </si>
  <si>
    <t>Obilazak sa zadatkom: posmatrati ponašanje odabrane životinje i bilježiti zapažanja (šta jede, kako se kreće, kako se oglašava).</t>
  </si>
  <si>
    <t>Crtanje životinje u njenom okruženju. Prezentacija rezultata posmatranja u razredu. Izrada plakata o jednoj ugroženoj vrsti i načinima kako joj možemo pomoći. Debata o ulozi ZOO vrtova.</t>
  </si>
  <si>
    <t>Potrebno upoznati roditelje i rezervisati ulaznice. Podijeliti učenike u male istraživačke timove. Osigurati materijal za bilježenje.</t>
  </si>
  <si>
    <t>Razvijanje svijesti o vlastitom kulturnom identitetu. Upoznavanje sa multikulturalnim naslijeđem Sarajeva. Učenje osnova orijentacije i korištenja mape grada.</t>
  </si>
  <si>
    <t>Podjela učenika u timove, svaki tim dobija zadatak da istraži jednu znamenitost (npr. Sebilj, Kazandžiluk, Morića han) i pripremi kratko izlaganje. Vježbanje snalaženja na mapi.</t>
  </si>
  <si>
    <t>Turistička tura koju vode sami učenici. Svaki tim prezentuje svoju znamenitost na licu mjesta. Posjeta zanatskoj radnji i razgovor sa zanatlijom.</t>
  </si>
  <si>
    <t>Izrada turističkog vodiča/brošure o Baščaršiji za mlađe učenike. Kviz znanja o historiji i znamenitostima grada.</t>
  </si>
  <si>
    <t>Potrebno rezervisati transport i upoznati roditelje. Pripremiti učenike za javni nastup. Osigurati da ruta bude sigurna. Poštovati pravila prilikom ulaska u vjerske objekte.</t>
  </si>
  <si>
    <t>Rekreativni / Socijalni: Obilježavanje početka školske godine</t>
  </si>
  <si>
    <t>Amina Ibrahimović Bojić, Razrednik VI razreda</t>
  </si>
  <si>
    <t>Jačanje socijalnih veza unutar razreda i sa učenicima VI razreda. Razvijanje interesa za lokalnu historiju (stari carigradski put). Podsticanje timskog duha i fizičke aktivnosti.</t>
  </si>
  <si>
    <t>Istraživanje o historiji Kozje ćuprije. Razgovor o važnosti postavljanja ciljeva (simbolika pješačenja). Dogovor o zajedničkim aktivnostima i pravilima ponašanja sa VI razredom.</t>
  </si>
  <si>
    <t>Pješačenje stazom Dariva - Kozja ćuprija. Čas historije na otvorenom. Organizovanje zajedničkih timskih igara V i VI razreda (npr. potraga za blagom). Piknik i druženje.</t>
  </si>
  <si>
    <t>Pisanje sastava na temu "Mostovi koji spajaju". Postavljanje ličnih i razrednih ciljeva za novu školsku godinu na času odjeljenske zajednice.</t>
  </si>
  <si>
    <t>Posjeta se realizuje sa VI razredom. Osigurati da svi učenici imaju adekvatnu obuću i vodu. Ponijeti prvu pomoć. Definisati odgovornosti starijih učenika.</t>
  </si>
  <si>
    <t>Socijalni / Edukativni: Upoznavanje učenika kroz posjetu</t>
  </si>
  <si>
    <t>Podsticanje neformalne interakcije i boljeg međusobnog upoznavanja. Razvijanje saradničkih vještina kroz zajedničko rješavanje problema i istraživanje iluzija. Jačanje veza sa VI razredom.</t>
  </si>
  <si>
    <t>Ledolomac igre u učionici. Razgovor o percepciji i kako nas čula mogu prevariti, kao uvod u temu iluzija.</t>
  </si>
  <si>
    <t>Posjeta muzeju u mješovitim parovima/grupama (V i VI razred). Zadatak: zajednički istražiti i objasniti jednu iluziju ostatku razreda.</t>
  </si>
  <si>
    <t>Prezentacije grupa o istraženim iluzijama. Diskusija o tome kako je timski rad pomogao u razumijevanju iluzija. Izrada zajedničkog razrednog panoa sa fotografijama.</t>
  </si>
  <si>
    <t>Posjeta se realizuje sa VI razredom. Cilj je druženje, stoga treba dati više slobode učenicima u kretanju (uz nadzor) i podsticati interakciju. Rezervisati termin.</t>
  </si>
  <si>
    <t>Kulturološki / Edukativni: Upoznavanje sa različitim religijama</t>
  </si>
  <si>
    <t>Razvijanje interkulturalne kompetencije, tolerancije i poštovanja prema različitostima. Učenje o osnovnim karakteristikama islama, pravoslavlja, katoličanstva i judaizma. Razumijevanje multikulturalnog identiteta Sarajeva.</t>
  </si>
  <si>
    <t>Priprema o svakoj religiji i njenom vjerskom objektu. Učenje o pravilima ponašanja i odijevanja. Učenici u mješovitim grupama (V i VI r.) pripremaju pitanja za predstavnike vjerskih zajednica.</t>
  </si>
  <si>
    <t>Obilazak Begove džamije, Stare pravoslavne crkve, Katedrale i Sinagoge. Susreti i razgovori sa predstavnicima vjerskih zajednica.</t>
  </si>
  <si>
    <t>Uporedna analiza: pravljenje tabele sa sličnostima i razlikama. Pisanje eseja na temu "Multikulturalno Sarajevo - moje bogatstvo". Debata o važnosti tolerancije.</t>
  </si>
  <si>
    <t>Posjeta se realizuje sa VI razredom. Unaprijed kontaktirati sve vjerske zajednice i najaviti posjetu. Podsjetiti učenike na prikladno odijevanje.</t>
  </si>
  <si>
    <t>Kafa, kolač (Slastičarna)</t>
  </si>
  <si>
    <t>Socijalni: Obilježavanje kraja polugodišta</t>
  </si>
  <si>
    <t>Jačanje pozitivne razredne klime. Neformalno druženje i opuštanje. Razvijanje socijalnih vještina u ugostiteljskom objektu. Proslava uspjeha iz prvog polugodišta.</t>
  </si>
  <si>
    <t>Rekapitulacija uspjeha u prvom polugodištu. Dogovor o pravilima ponašanja u slastičarni (naručivanje, plaćanje, kulturan razgovor).</t>
  </si>
  <si>
    <t>Zajednički odlazak u unaprijed odabran objekat. Druženje uz razgovor, sumiranje utisaka. Igra "anonimni prijatelj" (razmjena malih poklona ili lijepih poruka).</t>
  </si>
  <si>
    <t>Pisanje anonimnih pozitivnih poruka jedni drugima i čitanje na času. Postavljanje ciljeva za drugo polugodište.</t>
  </si>
  <si>
    <t>Posjeta se realizuje sa VI razredom. Odabrati objekat primjeren za boravak djece. Unaprijed dogovoriti dolazak sa menadžmentom objekta.</t>
  </si>
  <si>
    <t>Kuglanje</t>
  </si>
  <si>
    <t>Sportski / Rekreativni: Druženje učenika kroz sport</t>
  </si>
  <si>
    <t>Razvijanje sportskog i takmičarskog duha. Jačanje timskog rada i međusobnog bodrenja. Rekreacija i oslobađanje od stresa na početku drugog polugodišta.</t>
  </si>
  <si>
    <t>Upoznavanje sa pravilima kuglanja. Podjela u mješovite timove (V i VI razred) i osmišljavanje imena i pokliča za svaki tim.</t>
  </si>
  <si>
    <t>Odlazak u kuglanu. Prijateljsko takmičenje između timova. Zajedničko druženje i navijanje.</t>
  </si>
  <si>
    <t>Analiza rezultata i proslava učešća. Diskusija o važnosti učešća, a ne samo pobjede. Pisanje kratkog izvještaja o događaju za školsku web stranicu.</t>
  </si>
  <si>
    <t>Posjeta se realizuje sa VI razredom. Rezervisati staze unaprijed. Osigurati da svi učenici imaju prikladnu obuću. Naglasiti važnost sigurnog rukovanja kuglom.</t>
  </si>
  <si>
    <t>Rekreativni / Zdravstveni: Boravak na svježem zraku</t>
  </si>
  <si>
    <t>Promocija zdravog načina života i boravka u prirodi. Učenje o važnosti očuvanja planinskih ekosistema. Korištenje rekreativnih resursa grada.</t>
  </si>
  <si>
    <t>Edukacija o sigurnom kretanju na planini zimi. Upoznavanje sa florom i faunom Trebevića. Dogovor o aktivnostima (sankanje ako ima snijega, šetnja).</t>
  </si>
  <si>
    <t>Vožnja žičarom. Šetnja uređenim stazama. Grudvanje, sankanje ili druge igre na snijegu/otvorenom. Pauza za topli čaj.</t>
  </si>
  <si>
    <t>Izrada "snježnog" kolaža. Pisanje sastava na temu "Zimski dan na Trebeviću". Razgovor o uticaju čistog zraka na zdravlje i raspoloženje.</t>
  </si>
  <si>
    <t>Posjeta se realizuje sa VI razredom. Obavezna adekvatna zimska odjeća i obuća. Provjeriti vremensku prognozu. Ponijeti rezervne rukavice/kape.</t>
  </si>
  <si>
    <t>Historijski / Kulturološki: Upoznavanje o historiji</t>
  </si>
  <si>
    <t>Upoznavanje sa jednim od najvažnijih simbola Sarajeva. Učenje o historiji, stradanju i obnovi Vijećnice. Razvijanje poštovanja prema kulturnom naslijeđu i važnosti njegovog očuavanja.</t>
  </si>
  <si>
    <t>Gledanje dokumentarnog filma o Vijećnici. Istraživanje o arhitekturi (pseudo-maurski stil) i historijskom značaju. Priprema pitanja za kustosa.</t>
  </si>
  <si>
    <t>Organizovana posjeta uz stručno vođenje. Obilazak aule, vijećničkih sala i izložbenih postavki. Poseban fokus na priču o spašavanju knjiga.</t>
  </si>
  <si>
    <t>Izrada makete Vijećnice ili crteža. Pisanje eseja na temu "Vijećnica - simbol nepobjedivosti duha". Debata o važnosti čuvanja kulturnog blaga.</t>
  </si>
  <si>
    <t>Posjeta se realizuje sa VI razredom. Rezervisati grupnu posjetu i vodiča. Pripremiti učenike na ozbiljnost i važnost mjesta koje posjećuju.</t>
  </si>
  <si>
    <t>Kulturološki / Medijski: Povezivanje i učenje kroz film</t>
  </si>
  <si>
    <t>Razvijanje sposobnosti za kritičku analizu filma. Učenje o filmskim adaptacijama književnih djela. Jačanje socijalnih veza kroz zajedničko kulturno iskustvo.</t>
  </si>
  <si>
    <t>Čitanje knjige/priče koja je adaptirana u film. Diskusija o razlikama između medija knjige i filma. Analiza likova i radnje u knjizi.</t>
  </si>
  <si>
    <t>Gledanje filma. Nakon filma, organizovati zajedničku diskusiju (V i VI razred) o utiscima i poređenju sa knjigom.</t>
  </si>
  <si>
    <t>Pisanje uporedne analize "Knjiga vs. Film". Snimanje vlastite kratke scene iz knjige koja nije prikazana u filmu. Izrada filmskog plakata za knjigu.</t>
  </si>
  <si>
    <t>Posjeta se realizuje sa VI razredom. Odabrati film koji ima jasnu edukativnu i umjetničku vrijednost. Podstaknuti učenike da vode bilješke. Rezervisati karte.</t>
  </si>
  <si>
    <t>Muzej Sarajevo 1878-1918</t>
  </si>
  <si>
    <t>Historijski: Učenje o Sarajevu</t>
  </si>
  <si>
    <t>Upoznavanje sa ključnim periodom historije Sarajeva (austrougarski period i Sarajevski atentat). Razvijanje historijskog mišljenja i razumijevanja uzročno-posljedičnih veza.</t>
  </si>
  <si>
    <t>Čas historije posvećen austrougarskom periodu u BiH. Istraživanje o Francu Ferdinandu i Gavrilu Principu. Debata o pojmu "atentat" i njegovim posljedicama.</t>
  </si>
  <si>
    <t>Posjeta muzeju sa kustosom. Detaljno razgledanje postavke. Posjeta mjestu atentata kod Latinske ćuprije i diskusija na licu mjesta.</t>
  </si>
  <si>
    <t>Izrada vremenske lente događaja koji su prethodili Prvom svjetskom ratu. Igranje uloga: "suđenje" Gavrilu Principu gdje učenici preuzimaju uloge tužioca, advokata, svjedoka.</t>
  </si>
  <si>
    <t>Posjeta se realizuje sa VI razredom. Pripremiti učenike za kompleksnu i osjetljivu historijsku temu. Podsticati postavljanje pitanja i kritičko razmišljanje.</t>
  </si>
  <si>
    <t>Amra Franca, Victoria Bartz</t>
  </si>
  <si>
    <t>Razumijevanje perioda opsade Sarajeva (1992-1995). Razvijanje empatije prema civilnim žrtvama rata. Jačanje svijesti o važnosti mira i slobode. Razvijanje osjećaja poštovanja prema historiji grada.</t>
  </si>
  <si>
    <t>Gledanje dokumentarnih inserata o opsadi. Razgovor sa članovima porodice o njihovim iskustvima. Čitanje odlomaka iz literature o opsadi (npr. "Zlatin dnevnik"). Priprema promišljenih pitanja za vodiča.</t>
  </si>
  <si>
    <t>Posjeta muzeju sa vodičem (idealno svjedokom vremena). Gledanje filma u sklopu muzeja. Prolazak kroz dio tunela. Postavljanje pitanja i vođena diskusija o značaju objekta za preživljavanje grada.</t>
  </si>
  <si>
    <t>Potrebno organizovati transport i ulaznice. Pripremiti učenike emotivno za teške sadržaje. Osigurati prostor za razgovor i procesuiranje emocija nakon posjete.</t>
  </si>
  <si>
    <t>Sajam knjiga Skenderija</t>
  </si>
  <si>
    <t>Kulturološki: Upoznavanje učenika s najnovijim izdanjima, razviti interes prema knjizi</t>
  </si>
  <si>
    <t>Razvijanje kritičkog odnosa prema izdavaštvu. Učenje kako procijeniti kvalitet knjige (sadržaj, oprema, prijevod). Planiranje budžeta za kupovinu knjiga. Razvijanje vještine selektivnog pristupa informacijama.</t>
  </si>
  <si>
    <t>Istraživanje o domaćim i stranim izdavačkim kućama. Pravljenje liste knjiga koje su obavezna lektira, a koje bi voljeli imati u ličnoj biblioteci. Priprema za razgovor sa izdavačima.</t>
  </si>
  <si>
    <t>Posjeta sajmu sa zadatkom: pronaći najpovoljnije izdanje određene lektire, pronaći knjigu iz žanra koji ne čitaju često, porazgovarati sa jednim izdavačem.</t>
  </si>
  <si>
    <t>Prezentacija "ulova" sa sajma. Razmjena knjiga među učenicima. Pisanje preporuka školskoj biblioteci o nabavci novih naslova.</t>
  </si>
  <si>
    <t>Dati učenicima konkretne zadatke kako bi se izbjeglo besciljno lutanje. Podstaknuti ih da razgledaju i štandove sa stručnom i naučnom literaturom.</t>
  </si>
  <si>
    <t>Kulturološki: Upoznavanje učenika s kulturno-historijskim naslijeđem, razvijanje tolerancije među ljudima</t>
  </si>
  <si>
    <t>Amra Franca, Dina Gusinac</t>
  </si>
  <si>
    <t>Produbljivanje znanja o religijama. Razumijevanje uloge vjerskih objekata u arhitekturi i životu grada. Razvijanje argumentovane diskusije o religijskoj toleranciji i interreligijskom dijalogu.</t>
  </si>
  <si>
    <t>Istraživanje o arhitektonskim stilovima vjerskih objekata (osmanski, gotički). Priprema za debatu na temu "Uloga religije u modernom društvu".</t>
  </si>
  <si>
    <t>Obilazak sa fokusom na umjetnost, arhitekturu i simboliku. Razgovor sa predstavnicima vjerskih zajednica o ulozi njihove zajednice u interreligijskom dijalogu.</t>
  </si>
  <si>
    <t>Organizovanje debate u razredu. Pisanje komparativnog eseja o simbolici u različitim religijama. Izrada foto-reportaže sa posjete.</t>
  </si>
  <si>
    <t>Fokusirati se na dublje razumijevanje, a ne samo na osnovne informacije. Podsticati učenike na postavljanje kompleksnijih pitanja. Poštovati pravila odijevanja.</t>
  </si>
  <si>
    <t>Kulturološki / Medijski: Razvijanje kulture gledanja filmske umjetnosti, poticati kritičko mišljenje</t>
  </si>
  <si>
    <t>Usvajanje osnovnih elemenata filmske analize (režija, scenario, fotografija, montaža, muzika). Razvijanje sposobnosti pisanja argumentovane filmske kritike. Uočavanje stereotipa u filmovima.</t>
  </si>
  <si>
    <t>Upoznavanje sa filmskim planovima i uglovima snimanja. Analiza jedne scene iz poznatog filma. Čitanje profesionalnih filmskih kritika.</t>
  </si>
  <si>
    <t>Gledanje umjetnički relevantnog filma (domaćeg, evropskog). Nakon filma, vođena analiza ključnih scena i rediteljskih postupaka.</t>
  </si>
  <si>
    <t>Pisanje detaljne filmske kritike po zadatim smjernicama (sinopsis, analiza režije, glume, poruka filma). Snimanje video-recenzije filma.</t>
  </si>
  <si>
    <t>Odabrati film koji nije samo zabava, već nudi materijal za analizu. Podijeliti učenicima listu sa elementima na koje trebaju obratiti pažnju tokom gledanja.</t>
  </si>
  <si>
    <t>Galerija</t>
  </si>
  <si>
    <t>Kulturološki / Umjetnički: Razvijanje kulturne svijesti i estetskog ukusa, sticanje znanja o umjetnosti</t>
  </si>
  <si>
    <t>Amra Franca, Vanja Solaković</t>
  </si>
  <si>
    <t>Razumijevanje različitih likovnih pravaca i tehnika. Razvijanje sposobnosti verbalizacije estetskog doživljaja. Upoznavanje sa savremenom umjetničkom scenom u BiH.</t>
  </si>
  <si>
    <t>Istraživanje o umjetniku ili pravcu čija je izložba postavljena. Upoznavanje sa osnovnim pojmovima iz likovne teorije (kompozicija, boja, perspektiva).</t>
  </si>
  <si>
    <t>Posjeta galeriji uz stručno vođenje kustosa. Podsticanje učenika da ispred jednog djela provedu duže vrijeme, analiziraju ga i zapišu svoje misli i osjećaje. Razgovor sa umjetnikom, ako je moguće.</t>
  </si>
  <si>
    <t>Pisanje likovne kritike za jedno odabrano djelo. Praktična radionica u školi gdje učenici stvaraju vlastita djela u stilu umjetnika kojeg su upoznali.</t>
  </si>
  <si>
    <t>Odabrati izložbu koja je tematski i stilski zanimljiva učenicima. Pripremiti ih da je u galeriji važno gledati, ali i razmišljati i osjećati.</t>
  </si>
  <si>
    <t>Kulturološki / Umjetnički: Razvijanje ljubavi prema dramskoj umjetnosti</t>
  </si>
  <si>
    <t>Razumijevanje procesa nastanka pozorišne predstave (od teksta do scene). Analiza režije, glume i scenografije. Poređenje klasičnog i modernog teatra.</t>
  </si>
  <si>
    <t>Čitanje i analiza dramskog teksta predstave koja će se gledati. Istraživanje o reditelju i njegovom radu. Diskusija o temi kojom se predstava bavi.</t>
  </si>
  <si>
    <t>Gledanje predstave. Organizovanje posjete "iza scene" (ako je moguće) - razgledanje garderobe, radionica, tehnike. Razgovor sa glumcima i tehničkim osobljem.</t>
  </si>
  <si>
    <t>Pisanje pozorišne kritike. Izrada scenografske makete za jednu scenu iz predstave. Dramatizacija odlomka iz lektire primjenjujući znanja o teatru.</t>
  </si>
  <si>
    <t>Odabrati predstavu koja je estetski i intelektualno izazovna. Povezati posjetu sa gradivom iz maternjeg jezika i književnosti.</t>
  </si>
  <si>
    <t>Kulturološki / Historijski: Upoznavanje života i kulture tog perioda, razvijanje svijesti o naslijeđu i identitetu</t>
  </si>
  <si>
    <t>Razumijevanje društvenog, kulturnog i političkog konteksta 80-ih godina. Analiza fenomena pop-kulture (muzika, film, moda). Poređenje života i odrastanja tada i sada.</t>
  </si>
  <si>
    <t>Intervjuisanje roditelja i starijih članova porodice o životu 80-ih. Slušanje muzike (novi val) i gledanje inserata iz filmova tog perioda.</t>
  </si>
  <si>
    <t>Interaktivni obilazak muzeja. Podsticanje učenika da isprobaju eksponate. Vođena diskusija o sličnostima i razlikama u odrastanju nekad i sad.</t>
  </si>
  <si>
    <t>Izrada projekta "Moje 80-e" - učenici kreiraju prezentaciju o tome kako bi njihov život izgledao da su odrastali u tom periodu. Organizovanje "Retro dana" u školi.</t>
  </si>
  <si>
    <t>Ovaj muzej nudi odličnu priliku za međugeneracijski dijalog. Dati učenicima zadatak da pronađu neki predmet u muzeju koji su njihovi roditelji imali.</t>
  </si>
  <si>
    <t>Izlet na Trebević (žičara)</t>
  </si>
  <si>
    <t>Rekreativni / Ekološki: Upoznavanje prirodnih ljepota, jačanje zajedništva</t>
  </si>
  <si>
    <t>Amra Franca, Anes Memić</t>
  </si>
  <si>
    <t>Razvijanje ekološke svijesti i razumijevanje problema uništavanja prirode. Učenje o historiji planinarstva u Sarajevu. Jačanje tima (team building) kroz aktivnosti u prirodi.</t>
  </si>
  <si>
    <t>Istraživanje o historiji planinarskih domova na Trebeviću. Gledanje fotografija bob-staze prije i poslije rata. Planiranje aktivnosti za tim bilding.</t>
  </si>
  <si>
    <t>Vožnja žičarom. Pješačenje do napuštene bob-staze. Diskusija na licu mjesta o odnosu čovjeka prema prirodi i naslijeđu. Organizovane tim bilding igre koje potiču saradnju.</t>
  </si>
  <si>
    <t>Izrada prijedloga za revitalizaciju jednog dijela Trebevića. Pisanje reportaže za školske novine. Debata o održivom turizmu.</t>
  </si>
  <si>
    <t>Naglasiti važnost sigurnog kretanja, posebno oko napuštenih objekata. Iskoristiti priliku za čas iz ekologije i sociologije na otvorenom.</t>
  </si>
  <si>
    <t>V i VI razred</t>
  </si>
  <si>
    <t>Sep-Oktobar</t>
  </si>
  <si>
    <t>Historijski / Vaspitni</t>
  </si>
  <si>
    <t>Victoria Bartz, Amra Franca</t>
  </si>
  <si>
    <t>Kritičko razumijevanje perioda opsade Sarajeva. Razvijanje kulture sjećanja i empatije. Jačanje svijesti o važnosti mira i ljudskih prava. Povezivanje gradiva iz historije sa stvarnim lokacijama.</t>
  </si>
  <si>
    <t>Istraživanje i prezentacije o ključnim događajima opsade. Intervjuisanje članova porodice o njihovim iskustvima. Priprema analitičkih pitanja za vodiča.</t>
  </si>
  <si>
    <t>Vođena posjeta muzeju. Gledanje dokumentarnog filma. Prolazak kroz dio tunela uz diskusiju o njegovom strateškom i simboličkom značaju.</t>
  </si>
  <si>
    <t>Pisanje refleksivnog eseja na temu "Lekcije iz prošlosti za budućnost". Debata o ulozi civilnog stanovništva u ratu.</t>
  </si>
  <si>
    <t>Posjeta se realizuje zajedno sa VII razredom. Potrebna je emotivna priprema učenika za potresne sadržaje. Osigurati prostor za razgovor nakon posjete.</t>
  </si>
  <si>
    <t>Javorov dol, Bjelašnica</t>
  </si>
  <si>
    <t>Sportski / Socijalni</t>
  </si>
  <si>
    <t>Promocija liderstva i odgovornosti kroz pomoć u organizaciji. Jačanje školskog zajedništva. Promocija zdravog života i timskog sporta. Postavljanje pozitivnog primjera mlađim učenicima.</t>
  </si>
  <si>
    <t>Učenici VIII razreda učestvuju u planiranju sportskih aktivnosti. Preuzimanje uloge "kapitena" timova ili sudija za mlađe razrede. Priprema kratkog govora o važnosti sporta.</t>
  </si>
  <si>
    <t>Aktivno učešće u sportskim takmičenjima. Pomoć nastavnicima u organizaciji i vođenju igara za mlađe učenike. Osiguravanje poštivanja fair-playa.</t>
  </si>
  <si>
    <t>Pisanje kratkog izvještaja o iskustvu vođenja i organizacije. Diskusija o vještinama liderstva i timskog rada koje su primijenili.</t>
  </si>
  <si>
    <t>Kao najstariji učenici, imaju posebnu odgovornost. Potrebno je jasno definisati njihove uloge i zadatke u dogovoru sa profesorima tjelesnog odgoja.</t>
  </si>
  <si>
    <t>Muzej Sarajevo 1980-ih</t>
  </si>
  <si>
    <t>Historijski / Kulturološki</t>
  </si>
  <si>
    <t>Victoria Bartz, Dina Gusinac</t>
  </si>
  <si>
    <t>Razumijevanje društvenog i kulturnog konteksta života u Sarajevu i Jugoslaviji 80-ih godina. Analiza fenomena pop-kulture. Poređenje života i odrastanja tada i sada. Povezivanje lične historije (roditelja) sa nacionalnom.</t>
  </si>
  <si>
    <t>Istraživački zadatak: Intervjuisati roditelje o njihovoj mladosti 80-ih (muzika, filmovi, moda, škola). Slušanje muzike i gledanje inserata iz filmova tog perioda.</t>
  </si>
  <si>
    <t>Interaktivni obilazak muzeja sa zadatkom "Pronađi predmet koji su tvoji roditelji koristili". Vođena diskusija o sličnostima i razlikama u odrastanju.</t>
  </si>
  <si>
    <t>Izrada projekta "Generacijski jaz: 80-e vs. danas" (prezentacija, video). Organizovanje "Retro dana" u školi sa muzikom i modom 80-ih.</t>
  </si>
  <si>
    <t>Kuglanje i praznična proslava</t>
  </si>
  <si>
    <t>Rekreativni / Socijalni</t>
  </si>
  <si>
    <t>Victoria Bartz, Anes Memić</t>
  </si>
  <si>
    <t>Oslobađanje od stresa i jačanje razrednog zajedništva pred kraj polugodišta. Promocija zdravog takmičarskog duha i timskog rada. Proslava uspjeha i planiranje ciljeva za završni semestar.</t>
  </si>
  <si>
    <t>Demokratska podjela u timove. Osmišljavanje imena i strategija za timove. Razgovor o važnosti podrške i međusobnog bodrenja.</t>
  </si>
  <si>
    <t>Organizacija mini-turnira u kuglanju. Nakon kuglanja, odlazak na zajedničku večeru/pizzu gdje se sumiraju utisci i uspjesi iz prvog polugodišta.</t>
  </si>
  <si>
    <t>Neformalna evaluacija kroz razgovor. Pisanje "pisma sebi" sa ciljevima za kraj osnovne škole, koje će otvoriti na kraju godine.</t>
  </si>
  <si>
    <t>Rezervisati staze za kuglanje i mjesto za večeru unaprijed. Uključiti učenike u odabir mjesta.</t>
  </si>
  <si>
    <t>Fabrika Argeta (ili slična)</t>
  </si>
  <si>
    <t>Stručni / Orijentacijski: Razvoj znanja iz hemije i tehnologije</t>
  </si>
  <si>
    <t>Victoria Bartz, Melisa Tvrtković</t>
  </si>
  <si>
    <t>Uvid u primjenu hemije i tehnologije u industrijskoj proizvodnji. Upoznavanje sa različitim zanimanjima u proizvodnom sektoru (inženjer, tehnolog, kontrolor kvaliteta). Razumijevanje procesa od sirovine do finalnog proizvoda.</t>
  </si>
  <si>
    <t>Pregled nastavnih jedinica iz hemije vezanih za organsku hemiju i konzerviranje. Istraživanje o kompaniji Argeta i njenim proizvodima. Priprema pitanja za stručnjake iz fabrike.</t>
  </si>
  <si>
    <t>Stručna posjeta proizvodnom pogonu (ako je dozvoljeno) i laboratoriji za kontrolu kvaliteta. Prezentacija tehnologa o procesu proizvodnje. Q&amp;A sesija sa inženjerima.</t>
  </si>
  <si>
    <t>Izrada dijagrama toka procesa proizvodnje. Pisanje izvještaja o primjeni nauke u industriji. Debata o prednostima i manama industrijske proizvodnje hrane.</t>
  </si>
  <si>
    <t>Neophodno je unaprijed dogovoriti posjetu sa menadžmentom kompanije. Strogo poštovanje sigurnosnih i higijenskih protokola fabrike.</t>
  </si>
  <si>
    <t>Rekreativni / Kulturološki</t>
  </si>
  <si>
    <t>Victoria Bartz i Vijeće roditelja</t>
  </si>
  <si>
    <t>Promocija interkulturalnosti, zajedništva i solidarnosti. Razvijanje organizacijskih vještina kroz aktivno učešće u pripremi događaja. Jačanje veze između škole, učenika i roditelja.</t>
  </si>
  <si>
    <t>Učenici VIII razreda preuzimaju vodeću ulogu u organizacionom timu. Planiranje programa, dekoracija i menija u saradnji sa nastavnicima i roditeljima.</t>
  </si>
  <si>
    <t>Vođenje programa, dočekivanje gostiju, pomoć u serviranju. Aktivno učešće u druženju i promovisanju pozitivne atmosfere.</t>
  </si>
  <si>
    <t>Sastanak organizacionog tima nakon događaja radi analize uspješnosti. Pisanje zahvalnica svima koji su učestvovali i pomogli.</t>
  </si>
  <si>
    <t>Ključna je inkluzivnost – stvoriti događaj na kojem se svi osjećaju dobrodošlo. Jasno podijeliti zaduženja među učenicima.</t>
  </si>
  <si>
    <t>Otvoreni dani hemije (PMF)</t>
  </si>
  <si>
    <t>Naučni / Orijentacijski: Razvoj znanja iz hemije</t>
  </si>
  <si>
    <t>Upoznavanje sa univerzitetskim okruženjem. Produbljivanje znanja iz hemije kroz praktične eksperimente i predavanja. Profesionalna orijentacija i motivacija za nastavak obrazovanja u STEM oblastima.</t>
  </si>
  <si>
    <t>Pregled programa "Otvorenih dana" i odabir najzanimljivijih predavanja i radionica. Ponavljanje ključnih pojmova iz hemije. Priprema pitanja za profesore i studente.</t>
  </si>
  <si>
    <t>Aktivno učešće na odabranim radionicama i eksperimentima. Razgovor sa studentima hemije o njihovim iskustvima studiranja.</t>
  </si>
  <si>
    <t>Prezentacija najzanimljivijeg eksperimenta koji su vidjeli. Pisanje eseja na temu "Nauka mijenja svijet" ili "Zašto bih (ili ne bih) studirao/la hemiju".</t>
  </si>
  <si>
    <t>Ovo je javni događaj pa je potreban pojačan nadzor. Podstaknuti učenike da budu proaktivni i postavljaju pitanja.</t>
  </si>
  <si>
    <t>Maturalna ekskurzija: Bihać i NP Una</t>
  </si>
  <si>
    <t>Ekskurzija / Obrazovno-rekreativna</t>
  </si>
  <si>
    <t>Victoria Bartz, Anes Memić, (eventualno roditelj-pratilac)</t>
  </si>
  <si>
    <t>Kruna osnovnoškolskog obrazovanja. Upoznavanje sa prirodnim i historijskim ljepotama Krajine (rijeka Una, AVNOJ). Jačanje samostalnosti, odgovornosti i razrednog zajedništva. Stvaranje trajnih uspomena.</t>
  </si>
  <si>
    <t>Višesedmična priprema: učenici istražuju i prezentuju o Bihaću, AVNOJ-u, NP Una. Detaljan dogovor o planu putovanja, pravilima ponašanja, budžetu i pakovanju. Sastanak sa roditeljima.</t>
  </si>
  <si>
    <t>Višednevni boravak: Posjeta Muzeju AVNOJ-a. Obilazak NP Una (Štrbački buk, Martin Brod). Vožnja čamcem/rafting uz licencirane skipere. Obilazak grada Bihaća. Zajedničke večernje aktivnosti.</t>
  </si>
  <si>
    <t>Izrada zajedničkog "Dnevnika ekskurzije" (portfolio sa fotografijama, ulaznicama, utiscima). Izrada kratkog filma o ekskurziji.</t>
  </si>
  <si>
    <t>Zahtijeva najkompleksniju organizaciju: agencija, licencirani prevoz, siguran smještaj, profesionalni vodiči za aktivnosti na vodi, detaljan plan i program, saglasnost roditelja, plan za hitne slučajeve.</t>
  </si>
  <si>
    <t>Juni</t>
  </si>
  <si>
    <t>Završno druženje, sladoled</t>
  </si>
  <si>
    <t>Svečani i neformalni oproštaj od osnovne škole. Refleksija na proteklih osam/devet godina. Izražavanje zahvalnosti nastavnicima i jedni drugima. Stvaranje pozitivnog i emotivnog završetka jednog poglavlja u životu.</t>
  </si>
  <si>
    <t>Učenici samostalno (uz podršku razrednika) organizuju događaj: odabir lokacije, slanje pozivnica. Priprema kratkih oproštajnih govora ili "knjige sjećanja" za razrednika.</t>
  </si>
  <si>
    <t>Neformalno druženje. Razmjena uspomena. Fotografisanje. Podjela svjedočanstava i simboličnih nagrada ("učenik koji se najviše smijao" i sl.).</t>
  </si>
  <si>
    <t>Nema formalne evaluacije. Sam događaj je evaluacija i proslava zajednički provedenog vremena.</t>
  </si>
  <si>
    <t>Iako je neformalno, razrednik treba osigurati da se druženje odvija u sigurnom i primjerenom okruženju. Fokus na pozitivnim emocijama i uspomenama.</t>
  </si>
  <si>
    <t>Kozja ćuprija</t>
  </si>
  <si>
    <t>Anes Memić, Razrednik V razreda</t>
  </si>
  <si>
    <t>Upoznavanje s historijskim značajem starog carigradskog puta. Razvijanje svijesti o kulturnom naslijeđu Sarajeva. Promocija timskog duha i fizičke aktivnosti.</t>
  </si>
  <si>
    <t>Istraživanje o historiji Kozje ćuprije i njenom značaju. Razgovor o pravilima ponašanja tokom šetnje. Vježbanje orijentacije uz kartu.</t>
  </si>
  <si>
    <t>Pješačenje stazom Dariva - Kozja ćuprija. Vođena diskusija o historijskom kontekstu. Organizacija igara (npr. potraga za blagom). Piknik.</t>
  </si>
  <si>
    <t>Pisanje sastava "Moja šetnja Kozjom ćuprijom". Izrada crteža ili makete mosta. Diskusija o važnosti očuvanja historijskih spomenika.</t>
  </si>
  <si>
    <t>Posjeta se može realizirati s V razredom. Osigurati adekvatnu obuću i vodu. Ponijeti prvu pomoć. Provjeriti vremensku prognozu.</t>
  </si>
  <si>
    <t>Bjelašnica</t>
  </si>
  <si>
    <t>Sportski / Rekreativni</t>
  </si>
  <si>
    <t>Razvoj timskog duha i zdravih životnih navika kroz pješačenje. Upoznavanje s florom i faunom Bjelašnice. Promocija ekološke svijesti.</t>
  </si>
  <si>
    <t>Razgovor o biljnom i životinjskom svijetu Bjelašnice. Priprema za pješačenje (odjeća, oprema). Podjela u grupe s ekološkim zadacima.</t>
  </si>
  <si>
    <t>Pješačenje prilagođenom stazom. Edukativne pauze o flori i fauni. Organizacija sportskih igara (npr. fudbal). Akcija sakupljanja lišća za herbarij.</t>
  </si>
  <si>
    <t>Izrada razrednog herbarija. Pisanje izvještaja o izletu. Diskusija o važnosti očuvanja prirode.</t>
  </si>
  <si>
    <t>Angažovati iskusne vodiče. Provjeriti vremensku prognozu. Osigurati ručak, prevoz i prvu pomoć.</t>
  </si>
  <si>
    <t>Edukativni / Rekreativni</t>
  </si>
  <si>
    <t>Podsticanje logičkog i divergentnog mišljenja. Učenje o optičkim iluzijama i percepciji. Razvoj timskog rada kroz interaktivne aktivnosti.</t>
  </si>
  <si>
    <t>Razgovor o čulima i optičkim iluzijama. Rješavanje jednostavnih zagonetki. Izrada vlastite iluzije (npr. thaumatrope).</t>
  </si>
  <si>
    <t>Interaktivni obilazak muzeja. Učešće u didaktičkim igrama i instalacijama. Timsko rješavanje zagonetki. Fotografisanje.</t>
  </si>
  <si>
    <t>Radionica crtanja optičkih iluzija. Diskusija "Koja iluzija je bila najzanimljivija?". Pisanje kratke priče o iluzijama.</t>
  </si>
  <si>
    <t>Rezervisati ulaznice unaprijed. Osigurati nadzor zbog interaktivne prirode muzeja. Obavijestiti roditelje.</t>
  </si>
  <si>
    <t>Zetra, Olimpijski muzej i kuglanje</t>
  </si>
  <si>
    <t>Sportski / Kulturološki</t>
  </si>
  <si>
    <t>Anes Memić, Nastavnik tjelesnog odgoja</t>
  </si>
  <si>
    <t>Upoznavanje s olimpijskom historijom Sarajeva. Promocija sportskog duha i timskog rada kroz kuglanje. Razvijanje svijesti o važnosti sporta.</t>
  </si>
  <si>
    <t>Pregled materijala o ZOI 1984. u Sarajevu. Učenje pravila kuglanja. Podjela u timove i osmišljavanje timskih imena.</t>
  </si>
  <si>
    <t>Obilazak Olimpijskog muzeja uz vođenje. Takmičenje u kuglanju s fokusom na fair-play. Zajedničko navijanje.</t>
  </si>
  <si>
    <t>Pisanje eseja o značaju olimpijskih igara. Analiza timskog rada u kuglanju. Izrada plakata o ZOI 1984.</t>
  </si>
  <si>
    <t>Rezervisati termine za muzej i kuglanje. Osigurati prikladnu obuću za kuglanje. Obavijestiti roditelje.</t>
  </si>
  <si>
    <t>Kulturološki / Edukativni</t>
  </si>
  <si>
    <t>Razvijanje ljubavi prema pozorišnoj umjetnosti. Analiza elemenata predstave (gluma, scenografija). Podsticanje emocionalne inteligencije kroz razumijevanje likova.</t>
  </si>
  <si>
    <t>Upoznavanje sa sadržajem predstave. Razgovor o pozorišnim profesijama. Vježbe improvizacije u učionici.</t>
  </si>
  <si>
    <t>Gledanje predstave primjerene uzrastu. Razgovor s glumcima ili rediteljem (ako je moguće).</t>
  </si>
  <si>
    <t>Pisanje recenzije predstave. Dramatizacija odabrane scene. Diskusija o porukama predstave.</t>
  </si>
  <si>
    <t>Provjeriti repertoar i odabrati predstavu. Rezervisati ulaznice. Obavijestiti roditelje.</t>
  </si>
  <si>
    <t>Gradska biblioteka i ručak na Baščaršiji</t>
  </si>
  <si>
    <t>Kulturološki / Socijalni</t>
  </si>
  <si>
    <t>Promocija čitanja i upoznavanje s radom biblioteke. Jačanje razrednog zajedništva kroz zajednički ručak. Učenje o kulturnom naslijeđu Baščaršije.</t>
  </si>
  <si>
    <t>Razgovor o važnosti biblioteka. Istraživanje o Baščaršiji i njenim znamenitostima. Priprema pitanja za bibliotekare.</t>
  </si>
  <si>
    <t>Obilazak biblioteke. Učešće u radionici čitanja ili pripovijedanja. Zajednički ručak na Baščaršiji uz razgovor o kulturi.</t>
  </si>
  <si>
    <t>Izrada plakata o omiljenim knjigama. Pisanje izvještaja o posjeti. Kviz o znamenitostima Baščaršije.</t>
  </si>
  <si>
    <t>Kontaktirati biblioteku za dogovor termina. Odabrati restoran na Baščaršiji primjeren za djecu. Obavijestiti roditelje.</t>
  </si>
  <si>
    <t>Zoološki vrt Pionirska dolina</t>
  </si>
  <si>
    <t>Ekološki / Edukativni</t>
  </si>
  <si>
    <t>Učenje o biodiverzitetu i važnosti zaštite životinja. Razvijanje empatije prema životinjama. Rekreacija i proslava kraja školske godine.</t>
  </si>
  <si>
    <t>Istraživanje o životinjama u Pionirskoj dolini. Priprema kratkih izlaganja o odabranim životinjama.</t>
  </si>
  <si>
    <t>Obilazak zoološkog vrta, učenici prezentuju "svoju" životinju. Igre na igralištu. Zajednički sladoled.</t>
  </si>
  <si>
    <t>Kviz o životinjama. Izrada maski životinja. Diskusija o zaštiti ugroženih vrsta.</t>
  </si>
  <si>
    <t>Rezervisati ulaznice. Podsjetiti učenike na pravila ponašanja u zoološkom vrtu. Obavijestiti roditelje.</t>
  </si>
  <si>
    <t>Zemaljski muzej i šetnja Baščaršijom</t>
  </si>
  <si>
    <t>Upoznavanje s prirodnim i historijskim naslijeđem BiH. Razvijanje orijentacije i svijesti o kulturnom identitetu grada.</t>
  </si>
  <si>
    <t>Podjela u grupe za istraživanje odjela Zemaljskog muzeja. "Virtualna šetnja" Baščaršijom uz mapu. Priprema zadataka za "lov na blago".</t>
  </si>
  <si>
    <t>Vođena tura muzejom s kustosom. Šetnja Baščaršijom s zadacima (npr. pronađi Sebilj). Posjeta zanatskoj radnji.</t>
  </si>
  <si>
    <t>Svaka grupa prezentira najzanimljiviji eksponat iz muzeja. Izrada mape Baščaršije. Pisanje reportaže o posjeti.</t>
  </si>
  <si>
    <t>Rezervisati ulaznice za muzej. Definirati rutu šetnje. Obavijestiti roditelje i osigurati sigurnost.</t>
  </si>
  <si>
    <t>Ekskurzija</t>
  </si>
  <si>
    <t>Obrazovno-rekreativna</t>
  </si>
  <si>
    <t>Anes Memić, Dodatni nastavnik</t>
  </si>
  <si>
    <t>Upoznavanje s prirodnim i kulturnim znamenitostima BiH. Jačanje razrednog zajedništva. Razvijanje samostalnosti i odgovornosti.</t>
  </si>
  <si>
    <t>Istraživanje odredišta ekskurzije (npr. Jajce ili Mostar). Priprema prezentacija o znamenitostima. Dogovor o pravilima ponašanja.</t>
  </si>
  <si>
    <t>Višednevni boravak: obilazak znamenitosti, edukativne ture, rekreativne aktivnosti (npr. šetnja, igre).</t>
  </si>
  <si>
    <t>Pisanje dnevnika ekskurzije. Izrada foto-albuma. Prezentacija utisaka.</t>
  </si>
  <si>
    <t>Organizacija preko agencije. Osigurati licencirani prevoz, smještaj, vodiče i saglasnost roditelja.</t>
  </si>
  <si>
    <t>Sport Day</t>
  </si>
  <si>
    <t>Promocija timskog duha, zdravih navika i fair-playa. Razvijanje motoričkih vještina i sportskog ponašanja.</t>
  </si>
  <si>
    <t>Priprema za sportske aktivnosti (trčanje, skok u dalj). Razgovor o važnosti učešća. Podjela u timove.</t>
  </si>
  <si>
    <t>Organizacija mini-olimpijade (npr. trčanje, bacanje loptice). Timski sportovi (fudbal, odbojka). Dodjela simboličnih nagrada.</t>
  </si>
  <si>
    <t>Pisanje izvještaja o sportskom danu. Diskusija o timskom radu i fair-playu.</t>
  </si>
  <si>
    <t>Rezervisati prostor i rekvizite. Angažovati profesore tjelesnog odgoja. Osigurati vodu i prvu pomoć.</t>
  </si>
  <si>
    <t>Učenička ekskurzija Rim 2025.</t>
  </si>
  <si>
    <t>Upoznavanje s kulturnim i historijskim naslijeđem Rima. Razvijanje svijesti o evropskom kulturnom identitetu. Jačanje samostalnosti i timskog duha.</t>
  </si>
  <si>
    <t>Višesedmična priprema: istraživanje o Rimu (Koloseum, Forum, Vatikan). Priprema prezentacija i pitanja za vodiče. Sastanak s roditeljima.</t>
  </si>
  <si>
    <t>Višednevni boravak: obilazak znamenitosti (Koloseum, Panteon, Vatikan). Vođene ture. Zajedničke večernje aktivnosti.</t>
  </si>
  <si>
    <t>Izrada dnevnika ekskurzije s fotografijama i utiscima. Prezentacija o Rimu za mlađe razrede. Izrada kratkog filma.</t>
  </si>
  <si>
    <t>Organizacija preko agencije. Osigurati licencirani prevoz, smještaj, profesionalne vodiče i saglasnost roditelja.</t>
  </si>
  <si>
    <t>Rekreativni / Ekološki</t>
  </si>
  <si>
    <t>Promocija zdravog načina života i boravka u prirodi. Razvijanje ekološke svijesti. Jačanje liderstva kroz organizaciju aktivnosti za mlađe učenike.</t>
  </si>
  <si>
    <t>Učenici IX razreda pomažu u planiranju izleta. Istraživanje o ekosistemu Bjelašnice. Priprema govora o važnosti prirode.</t>
  </si>
  <si>
    <t>Pješačenje stazom. Vođenje grupa mlađih učenika. Organizacija timskih igara. Edukativne pauze o flori i fauni.</t>
  </si>
  <si>
    <t>Pisanje izvještaja o iskustvu liderstva. Debata o održivom turizmu. Izrada plakata o zaštiti prirode.</t>
  </si>
  <si>
    <t>Učenici IX razreda imaju ulogu mentora. Angažovati vodiče. Osigurati prevoz, ručak i prvu pomoć.</t>
  </si>
  <si>
    <t>Razumijevanje dramske umjetnosti. Analiza režije, glume i scenografije. Povezivanje s gradivom iz književnosti.</t>
  </si>
  <si>
    <t>Čitanje dramskog teksta predstave. Istraživanje o reditelju. Diskusija o temama predstave.</t>
  </si>
  <si>
    <t>Gledanje predstave. Posjeta "iza scene" (ako je moguće). Razgovor s glumcima ili tehničkim osobljem.</t>
  </si>
  <si>
    <t>Pisanje pozorišne kritike. Dramatizacija odlomka iz lektire. Debata o umjetničkoj vrijednosti predstave.</t>
  </si>
  <si>
    <t>Odabrati predstavu povezanu s gradivom. Rezervisati ulaznice. Obavijestiti roditelje.</t>
  </si>
  <si>
    <t>Collegium Artisticum i klizanje u Skenderiji</t>
  </si>
  <si>
    <t>Kulturološki / Rekreativni</t>
  </si>
  <si>
    <t>Anes Memić, Nastavnik likovne kulture</t>
  </si>
  <si>
    <t>Razvijanje estetskog ukusa kroz umjetnost. Promocija fizičke aktivnosti i timskog duha kroz klizanje.</t>
  </si>
  <si>
    <t>Istraživanje o umjetniku ili izložbi u Collegium Artisticum. Učenje osnova klizanja i sigurnosnih pravila.</t>
  </si>
  <si>
    <t>Obilazak izložbe uz vođenje kustosa. Klizanje u Skenderiji s fokusom na međusobno bodrenje.</t>
  </si>
  <si>
    <t>Pisanje likovne kritike o izložbi. Diskusija o iskustvu klizanja. Izrada umjetničkog rada inspirisanog izložbom.</t>
  </si>
  <si>
    <t>Rezervisati termine za izložbu i klizalište. Osigurati prikladnu odjeću za klizanje. Obavijestiti roditelje.</t>
  </si>
  <si>
    <t>Zetra, organizacija sportske aktivnosti</t>
  </si>
  <si>
    <t>Sportski / Organizacijski</t>
  </si>
  <si>
    <t>Razvijanje organizacijskih i liderskih vještina. Promocija timskog sporta i fair-playa. Upoznavanje s olimpijskim naslijeđem Sarajeva.</t>
  </si>
  <si>
    <t>Planiranje sportske aktivnosti za mlađe razrede. Pregled materijala o ZOI 1984. Podjela uloga (sudije, organizatori).</t>
  </si>
  <si>
    <t>Obilazak Zetre. Organizacija sportskog turnira (npr. košarka, fudbal) za mlađe učenike. Vođenje i motiviranje timova.</t>
  </si>
  <si>
    <t>Pisanje izvještaja o organizaciji turnira. Diskusija o liderskim vještinama. Izrada plakata o olimpijskom duhu.</t>
  </si>
  <si>
    <t>Učenici IX razreda preuzimaju liderske uloge. Rezervisati dvoranu. Osigurati rekvizite i prvu pomoć.</t>
  </si>
  <si>
    <t>Trebević (žičara i mini planinarska tura)</t>
  </si>
  <si>
    <t>Promocija zdravog načina života i boravka u prirodi. Učenje o historiji Trebevića i očuvanju prirode. Jačanje razrednog zajedništva.</t>
  </si>
  <si>
    <t>Istraživanje o historiji trebevićke žičare i planinarskih staza. Razgovor o sigurnosti i orijentaciji u prirodi.</t>
  </si>
  <si>
    <t>Vožnja žičarom. Mini planinarska tura. Identifikacija gradskih znamenitosti s vidikovca. Tim bilding igre.</t>
  </si>
  <si>
    <t>Pisanje pjesme ili eseja o Trebeviću. Geografski zadatak: ucrtavanje Trebevića na kartu Sarajeva.</t>
  </si>
  <si>
    <t>Rezervisati karte za žičaru. Provjeriti vremensku prognozu. Osigurati adekvatnu odjeću i prvu pomoć.</t>
  </si>
  <si>
    <t>Upoznavanje s kulturnim festivalom Sarajevska zima. Promocija umjetnosti i kreativnosti. Jačanje razrednog zajedništva.</t>
  </si>
  <si>
    <t>Pregled programa Sarajevske zime. Odabir događaja (npr. izložba, predstava). Razgovor o značaju kulturnih festivala.</t>
  </si>
  <si>
    <t>Prisustvovanje odabranom događaju (npr. izložbi ili predstavi). Vođena diskusija o umjetničkom doživljaju.</t>
  </si>
  <si>
    <t>Pisanje refleksije o posjeti. Izrada plakata o Sarajevskoj zimi za školski pano.</t>
  </si>
  <si>
    <t>Provjeriti program festivala i rezervisati ulaznice. Obavijestiti roditelje. Osigurati nadzor.</t>
  </si>
  <si>
    <t>Sajam knjiga</t>
  </si>
  <si>
    <t>Razvijanje ljubavi prema čitanju. Učenje o izdavaštvu i kritičkom odabiru literature. Promocija komunikacije s izdavačima.</t>
  </si>
  <si>
    <t>Istraživanje o domaćim izdavačima i novitetima. Pravljenje liste željenih knjiga. Priprema pitanja za izdavače.</t>
  </si>
  <si>
    <t>Posjeta sajmu s zadatkom: pronaći knjigu iz nepoznatog žanra i razgovarati s izdavačem. Prisustvovanje promociji knjige.</t>
  </si>
  <si>
    <t>Prezentacija kupljenih knjiga. Pisanje preporuka za školsku biblioteku. Organizacija razrednog kluba čitalaca.</t>
  </si>
  <si>
    <t>Obavijestiti roditelje o terminu i džeparcu. Dogovoriti pravila ponašanja na sajmu.</t>
  </si>
  <si>
    <t>Posjete srednjim školama</t>
  </si>
  <si>
    <t>Orijentacijski / Edukativni</t>
  </si>
  <si>
    <t>Priprema za prelazak u srednju školu. Upoznavanje s različitim obrazovnim programima. Razvijanje svijesti o profesionalnoj orijentaciji.</t>
  </si>
  <si>
    <t>Istraživanje o srednjim školama u Sarajevu. Priprema pitanja za profesore i učenike srednjih škola.</t>
  </si>
  <si>
    <t>Posjeta danima otvorenih vrata u 2-3 srednje škole. Razgovor s učenicima i profesorima. Učešće u prezentacijama programa.</t>
  </si>
  <si>
    <t>Pisanje eseja "Moja buduća škola". Diskusija o prednostima i izazovima različitih škola.</t>
  </si>
  <si>
    <t>Kontaktirati škole za termine. Osigurati prevoz i nadzor. Ohrabriti učenike da budu proaktivni.</t>
  </si>
  <si>
    <t>Dan u prirodi / piknik i Sports Day</t>
  </si>
  <si>
    <t>Svečani oproštaj od osnovne škole. Promocija zdravih navika i timskog duha. Stvaranje trajnih uspomena.</t>
  </si>
  <si>
    <t>Planiranje piknika i sportskih aktivnosti. Podjela uloga za organizaciju. Priprema oproštajnih govora ili poruka.</t>
  </si>
  <si>
    <t>Piknik u prirodi (npr. Ilidža). Organizacija sportskih igara. Neformalno druženje, fotografisanje i razmjena uspomena.</t>
  </si>
  <si>
    <t>Pisanje "pisma sebi" s ciljevima za srednju školu. Izrada razrednog foto-albuma.</t>
  </si>
  <si>
    <t>Osigurati sigurno mjesto za piknik. Rezervisati prostor za sport. Obavijestiti roditelje i osigurati prvu pomoć.</t>
  </si>
  <si>
    <t>Zajednički ručak na Baščaršiji</t>
  </si>
  <si>
    <t>Socijalni / Kulturološki</t>
  </si>
  <si>
    <t>Jačanje razrednog zajedništva. Upoznavanje s kulturnim naslijeđem Baščaršije. Proslava završetka školske godine.</t>
  </si>
  <si>
    <t>Razgovor o Baščaršiji i njenim znamenitostima. Dogovor o pravilima ponašanja u restoranu.</t>
  </si>
  <si>
    <t>Zajednički ručak u restoranu na Baščaršiji. Neformalni razgovor i sumiranje uspomena iz osnovne škole.</t>
  </si>
  <si>
    <t>Pisanje zahvalnica razredniku i nastavnicima. Diskusija o značaju zajedništva.</t>
  </si>
  <si>
    <t>Odabrati restoran primjeren za djecu. Rezervisati mjesto. Obavijestiti roditelje.</t>
  </si>
  <si>
    <t>Pripreme (u vrtiću/školi)</t>
  </si>
  <si>
    <t>Evaluacija i Praćenje (u vrtiću/školi)</t>
  </si>
  <si>
    <t>10:00 Polazak. 10:30 Dolazak u pozorište. 11:00-12:30 Gledanje predstave. 12:30-13:00 Posjeta "iza scene" (ako je moguće) - razgledanje garderobe, radionica, tehnike. Razgovor sa glumcima i tehničkim osobljem. 13:15 Povratak.</t>
  </si>
  <si>
    <t>10:00 Polazak. 10:30 Dolazak u muzej. 10:45-12:00 Interaktivni obilazak muzeja, isprobavanje eksponata. Vođena diskusija o sličnostima i razlikama u odrastanju nekad i sad. 12:15 Povratak.</t>
  </si>
  <si>
    <t>9:30 Polazak. 10:00 Dolazak, vožnja žičarom. 10:30-11:30 Pješačenje do napuštene bob-staze. Diskusija na licu mjesta o odnosu čovjeka prema prirodi i naslijeđu. 11:30-12:30 Organizovane tim bilding igre koje potiču saradnju. 12:45 Povratak.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</si>
</sst>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#,##0\ &quot;KM&quot;;[Red]\-#,##0\ &quot;KM&quot;"/>
    <numFmt numFmtId="164" formatCode="[$-409]General"/>
  </numFmts>
  <fonts count="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entury Gothic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sz val="9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66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Border="0" applyProtection="0"/>
    <xf numFmtId="0" fontId="1" fillId="0" borderId="0"/>
  </cellStyleXfs>
  <cellXfs count="53">
    <xf numFmtId="0" fontId="0" fillId="0" borderId="0" xfId="0"/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14" fontId="7" fillId="0" borderId="0" xfId="0" applyNumberFormat="1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vertical="center"/>
      <protection locked="0"/>
    </xf>
    <xf numFmtId="0" fontId="5" fillId="2" borderId="1" xfId="0" applyFont="1" applyFill="1" applyBorder="1" applyAlignment="1" applyProtection="1">
      <alignment horizontal="center" vertical="center"/>
      <protection locked="0"/>
    </xf>
    <xf numFmtId="14" fontId="5" fillId="0" borderId="1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6" fontId="5" fillId="0" borderId="1" xfId="0" applyNumberFormat="1" applyFont="1" applyBorder="1" applyAlignment="1" applyProtection="1">
      <alignment horizontal="right" vertical="center"/>
      <protection locked="0"/>
    </xf>
    <xf numFmtId="0" fontId="8" fillId="0" borderId="1" xfId="0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4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 applyProtection="1">
      <alignment horizontal="left" vertical="center" wrapText="1"/>
      <protection locked="0"/>
    </xf>
    <xf numFmtId="0" fontId="5" fillId="2" borderId="1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/>
    <xf numFmtId="0" fontId="6" fillId="0" borderId="1" xfId="0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14" fontId="7" fillId="0" borderId="1" xfId="0" applyNumberFormat="1" applyFont="1" applyBorder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7" fillId="3" borderId="1" xfId="0" applyFont="1" applyFill="1" applyBorder="1" applyAlignment="1">
      <alignment vertical="center" wrapText="1"/>
    </xf>
    <xf numFmtId="14" fontId="7" fillId="3" borderId="1" xfId="0" applyNumberFormat="1" applyFont="1" applyFill="1" applyBorder="1" applyAlignment="1">
      <alignment vertical="center" wrapText="1"/>
    </xf>
    <xf numFmtId="0" fontId="7" fillId="4" borderId="1" xfId="0" applyFont="1" applyFill="1" applyBorder="1" applyAlignment="1">
      <alignment vertical="center" wrapText="1"/>
    </xf>
    <xf numFmtId="14" fontId="7" fillId="4" borderId="1" xfId="0" applyNumberFormat="1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 wrapText="1"/>
    </xf>
    <xf numFmtId="14" fontId="7" fillId="5" borderId="1" xfId="0" applyNumberFormat="1" applyFont="1" applyFill="1" applyBorder="1" applyAlignment="1">
      <alignment vertical="center" wrapText="1"/>
    </xf>
    <xf numFmtId="0" fontId="7" fillId="6" borderId="1" xfId="0" applyFont="1" applyFill="1" applyBorder="1" applyAlignment="1">
      <alignment vertical="center" wrapText="1"/>
    </xf>
    <xf numFmtId="14" fontId="7" fillId="6" borderId="1" xfId="0" applyNumberFormat="1" applyFont="1" applyFill="1" applyBorder="1" applyAlignment="1">
      <alignment vertical="center" wrapText="1"/>
    </xf>
    <xf numFmtId="0" fontId="7" fillId="7" borderId="1" xfId="0" applyFont="1" applyFill="1" applyBorder="1" applyAlignment="1">
      <alignment vertical="center" wrapText="1"/>
    </xf>
    <xf numFmtId="14" fontId="7" fillId="7" borderId="1" xfId="0" applyNumberFormat="1" applyFont="1" applyFill="1" applyBorder="1" applyAlignment="1">
      <alignment vertical="center" wrapText="1"/>
    </xf>
    <xf numFmtId="0" fontId="7" fillId="8" borderId="1" xfId="0" applyFont="1" applyFill="1" applyBorder="1" applyAlignment="1">
      <alignment vertical="center" wrapText="1"/>
    </xf>
    <xf numFmtId="14" fontId="7" fillId="8" borderId="1" xfId="0" applyNumberFormat="1" applyFont="1" applyFill="1" applyBorder="1" applyAlignment="1">
      <alignment vertical="center" wrapText="1"/>
    </xf>
    <xf numFmtId="0" fontId="7" fillId="9" borderId="1" xfId="0" applyFont="1" applyFill="1" applyBorder="1" applyAlignment="1">
      <alignment vertical="center" wrapText="1"/>
    </xf>
    <xf numFmtId="14" fontId="7" fillId="9" borderId="1" xfId="0" applyNumberFormat="1" applyFont="1" applyFill="1" applyBorder="1" applyAlignment="1">
      <alignment vertical="center" wrapText="1"/>
    </xf>
    <xf numFmtId="0" fontId="7" fillId="10" borderId="1" xfId="0" applyFont="1" applyFill="1" applyBorder="1" applyAlignment="1">
      <alignment vertical="center" wrapText="1"/>
    </xf>
    <xf numFmtId="14" fontId="7" fillId="10" borderId="1" xfId="0" applyNumberFormat="1" applyFont="1" applyFill="1" applyBorder="1" applyAlignment="1">
      <alignment vertical="center" wrapText="1"/>
    </xf>
    <xf numFmtId="0" fontId="7" fillId="11" borderId="1" xfId="0" applyFont="1" applyFill="1" applyBorder="1" applyAlignment="1">
      <alignment vertical="center" wrapText="1"/>
    </xf>
    <xf numFmtId="14" fontId="7" fillId="11" borderId="1" xfId="0" applyNumberFormat="1" applyFont="1" applyFill="1" applyBorder="1" applyAlignment="1">
      <alignment vertical="center" wrapText="1"/>
    </xf>
  </cellXfs>
  <cellStyles count="3">
    <cellStyle name="Excel Built-in Normal" xfId="1" xr:uid="{CD2699E7-650D-4EC4-AFF2-6A3011CF90A9}"/>
    <cellStyle name="Normalno" xfId="0" builtinId="0"/>
    <cellStyle name="Normalno 2" xfId="2" xr:uid="{C74FFDE9-A259-44E6-A552-C05DDE9E3E48}"/>
  </cellStyles>
  <dxfs count="0"/>
  <tableStyles count="0" defaultTableStyle="TableStyleMedium2" defaultPivotStyle="PivotStyleLight16"/>
  <colors>
    <mruColors>
      <color rgb="FF66FFFF"/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AVOR_IDSS\Locker\SCHOOL\2025-2026\Izleti_I_Posjete\2.%20Semra_IDSS_II%20razred_Plan_Izleta_I_Posjeta_2025-2026.xlsx" TargetMode="External"/><Relationship Id="rId1" Type="http://schemas.openxmlformats.org/officeDocument/2006/relationships/externalLinkPath" Target="2.%20Semra_IDSS_II%20razred_Plan_Izleta_I_Posjeta_2025-2026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AVOR_IDSS\Locker\SCHOOL\2025-2026\Izleti_I_Posjete\3.%20Amra_IDSS_Plan_Izleta_I_Posjeta_2025-2026.xlsx" TargetMode="External"/><Relationship Id="rId1" Type="http://schemas.openxmlformats.org/officeDocument/2006/relationships/externalLinkPath" Target="3.%20Amra_IDSS_Plan_Izleta_I_Posjeta_2025-2026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AVOR_IDSS\Locker\SCHOOL\2025-2026\Izleti_I_Posjete\7.%20AmraF_IDSS_Plan_Izleta_I_Posjeta_2025-2026.xlsx" TargetMode="External"/><Relationship Id="rId1" Type="http://schemas.openxmlformats.org/officeDocument/2006/relationships/externalLinkPath" Target="7.%20AmraF_IDSS_Plan_Izleta_I_Posjeta_2025-202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zleti_I_Obilasci"/>
      <sheetName val="Settings"/>
    </sheetNames>
    <sheetDataSet>
      <sheetData sheetId="0"/>
      <sheetData sheetId="1">
        <row r="2">
          <cell r="A2" t="str">
            <v>IDSS predškola</v>
          </cell>
          <cell r="B2" t="str">
            <v>Amela Fazlović</v>
          </cell>
        </row>
        <row r="3">
          <cell r="A3" t="str">
            <v>I razred</v>
          </cell>
          <cell r="B3" t="str">
            <v>Selma Mujanović</v>
          </cell>
        </row>
        <row r="4">
          <cell r="A4" t="str">
            <v>II razred</v>
          </cell>
          <cell r="B4" t="str">
            <v>Semra Isanović</v>
          </cell>
        </row>
        <row r="5">
          <cell r="A5" t="str">
            <v>III razred</v>
          </cell>
          <cell r="B5" t="str">
            <v>Amra Kurešepi</v>
          </cell>
        </row>
        <row r="6">
          <cell r="A6" t="str">
            <v>IV razred</v>
          </cell>
          <cell r="B6" t="str">
            <v>Anes Memić</v>
          </cell>
        </row>
        <row r="7">
          <cell r="A7" t="str">
            <v>V razred</v>
          </cell>
          <cell r="B7" t="str">
            <v>Amina Ibrahimović Bojić</v>
          </cell>
        </row>
        <row r="8">
          <cell r="A8" t="str">
            <v>VI razred</v>
          </cell>
          <cell r="B8" t="str">
            <v>Hana Hodžić</v>
          </cell>
        </row>
        <row r="9">
          <cell r="A9" t="str">
            <v>VII razred</v>
          </cell>
          <cell r="B9" t="str">
            <v>Amra Franca</v>
          </cell>
        </row>
        <row r="10">
          <cell r="A10" t="str">
            <v>VIII razred</v>
          </cell>
          <cell r="B10" t="str">
            <v>Victoria Bartz</v>
          </cell>
        </row>
        <row r="11">
          <cell r="A11" t="str">
            <v>IX razred</v>
          </cell>
          <cell r="B11" t="str">
            <v>Anes Memić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zleti_I_Obilasci"/>
      <sheetName val="Settings"/>
    </sheetNames>
    <sheetDataSet>
      <sheetData sheetId="0"/>
      <sheetData sheetId="1">
        <row r="2">
          <cell r="A2" t="str">
            <v>IDSS predškola</v>
          </cell>
          <cell r="B2" t="str">
            <v>Amela Fazlović</v>
          </cell>
        </row>
        <row r="3">
          <cell r="A3" t="str">
            <v>I razred</v>
          </cell>
          <cell r="B3" t="str">
            <v>Selma Mujanović</v>
          </cell>
        </row>
        <row r="4">
          <cell r="A4" t="str">
            <v>II razred</v>
          </cell>
          <cell r="B4" t="str">
            <v>Semra Isanović</v>
          </cell>
        </row>
        <row r="5">
          <cell r="A5" t="str">
            <v>III razred</v>
          </cell>
          <cell r="B5" t="str">
            <v>Amra Kurešepi</v>
          </cell>
        </row>
        <row r="6">
          <cell r="A6" t="str">
            <v>IV razred</v>
          </cell>
          <cell r="B6" t="str">
            <v>Anes Memić</v>
          </cell>
        </row>
        <row r="7">
          <cell r="A7" t="str">
            <v>V razred</v>
          </cell>
          <cell r="B7" t="str">
            <v>Amina Ibrahimović Bojić</v>
          </cell>
        </row>
        <row r="8">
          <cell r="A8" t="str">
            <v>VI razred</v>
          </cell>
          <cell r="B8" t="str">
            <v>Hana Hodžić</v>
          </cell>
        </row>
        <row r="9">
          <cell r="A9" t="str">
            <v>VII razred</v>
          </cell>
          <cell r="B9" t="str">
            <v>Amra Franca</v>
          </cell>
        </row>
        <row r="10">
          <cell r="A10" t="str">
            <v>VIII razred</v>
          </cell>
          <cell r="B10" t="str">
            <v>Victoria Bartz</v>
          </cell>
        </row>
        <row r="11">
          <cell r="A11" t="str">
            <v>IX razred</v>
          </cell>
          <cell r="B11" t="str">
            <v>Anes Memić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zleti_I_Obilasci"/>
      <sheetName val="Settings"/>
    </sheetNames>
    <sheetDataSet>
      <sheetData sheetId="0"/>
      <sheetData sheetId="1">
        <row r="2">
          <cell r="A2" t="str">
            <v>IDSS predškola</v>
          </cell>
          <cell r="B2" t="str">
            <v>Amela Fazlović</v>
          </cell>
        </row>
        <row r="3">
          <cell r="A3" t="str">
            <v>I razred</v>
          </cell>
          <cell r="B3" t="str">
            <v>Selma Mujanović</v>
          </cell>
        </row>
        <row r="4">
          <cell r="A4" t="str">
            <v>II razred</v>
          </cell>
          <cell r="B4" t="str">
            <v>Semra Isanović</v>
          </cell>
        </row>
        <row r="5">
          <cell r="A5" t="str">
            <v>III razred</v>
          </cell>
          <cell r="B5" t="str">
            <v>Amra Kurešepi</v>
          </cell>
        </row>
        <row r="6">
          <cell r="A6" t="str">
            <v>IV razred</v>
          </cell>
          <cell r="B6" t="str">
            <v>Anes Memić</v>
          </cell>
        </row>
        <row r="7">
          <cell r="A7" t="str">
            <v>V razred</v>
          </cell>
          <cell r="B7" t="str">
            <v>Amina Ibrahimović Bojić</v>
          </cell>
        </row>
        <row r="8">
          <cell r="A8" t="str">
            <v>VI razred</v>
          </cell>
          <cell r="B8" t="str">
            <v>Hana Hodžić</v>
          </cell>
        </row>
        <row r="9">
          <cell r="A9" t="str">
            <v>VII razred</v>
          </cell>
          <cell r="B9" t="str">
            <v>Amra Franca</v>
          </cell>
        </row>
        <row r="10">
          <cell r="A10" t="str">
            <v>VIII razred</v>
          </cell>
          <cell r="B10" t="str">
            <v>Victoria Bartz</v>
          </cell>
        </row>
        <row r="11">
          <cell r="A11" t="str">
            <v>IX razred</v>
          </cell>
          <cell r="B11" t="str">
            <v>Anes Memić</v>
          </cell>
        </row>
      </sheetData>
    </sheetDataSet>
  </externalBook>
</externalLink>
</file>

<file path=xl/theme/theme1.xml><?xml version="1.0" encoding="utf-8"?>
<a:theme xmlns:a="http://schemas.openxmlformats.org/drawingml/2006/main" name="Office 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36BEA-D5AB-4AD1-A62E-DE9B46AF7D91}">
  <sheetPr>
    <pageSetUpPr fitToPage="1"/>
  </sheetPr>
  <dimension ref="A1:L91"/>
  <sheetViews>
    <sheetView tabSelected="1" topLeftCell="A86" zoomScale="40" zoomScaleNormal="40" workbookViewId="0">
      <selection activeCell="U87" sqref="U87"/>
    </sheetView>
  </sheetViews>
  <sheetFormatPr defaultRowHeight="16.5" x14ac:dyDescent="0.25"/>
  <cols>
    <col min="1" max="1" width="19.85546875" style="2" customWidth="1"/>
    <col min="2" max="2" width="16.140625" style="2" bestFit="1" customWidth="1"/>
    <col min="3" max="3" width="15.28515625" style="2" bestFit="1" customWidth="1"/>
    <col min="4" max="4" width="37.42578125" style="2" bestFit="1" customWidth="1"/>
    <col min="5" max="5" width="29.85546875" style="2" customWidth="1"/>
    <col min="6" max="6" width="12" style="2" bestFit="1" customWidth="1"/>
    <col min="7" max="7" width="26.42578125" style="2" customWidth="1"/>
    <col min="8" max="8" width="35.7109375" style="2" customWidth="1"/>
    <col min="9" max="9" width="32.5703125" style="2" customWidth="1"/>
    <col min="10" max="10" width="37.5703125" style="2" customWidth="1"/>
    <col min="11" max="11" width="33" style="2" customWidth="1"/>
    <col min="12" max="12" width="31.28515625" style="2" customWidth="1"/>
    <col min="13" max="16384" width="9.140625" style="2"/>
  </cols>
  <sheetData>
    <row r="1" spans="1:12" ht="25.5" x14ac:dyDescent="0.25">
      <c r="A1" s="17" t="s">
        <v>19</v>
      </c>
    </row>
    <row r="4" spans="1:12" s="34" customFormat="1" ht="28.5" x14ac:dyDescent="0.25">
      <c r="A4" s="30" t="s">
        <v>6</v>
      </c>
      <c r="B4" s="30" t="s">
        <v>43</v>
      </c>
      <c r="C4" s="31" t="s">
        <v>7</v>
      </c>
      <c r="D4" s="30" t="s">
        <v>8</v>
      </c>
      <c r="E4" s="30" t="s">
        <v>205</v>
      </c>
      <c r="F4" s="30" t="s">
        <v>9</v>
      </c>
      <c r="G4" s="30" t="s">
        <v>206</v>
      </c>
      <c r="H4" s="30" t="s">
        <v>207</v>
      </c>
      <c r="I4" s="30" t="s">
        <v>734</v>
      </c>
      <c r="J4" s="30" t="s">
        <v>218</v>
      </c>
      <c r="K4" s="30" t="s">
        <v>735</v>
      </c>
      <c r="L4" s="30" t="s">
        <v>219</v>
      </c>
    </row>
    <row r="5" spans="1:12" ht="132" x14ac:dyDescent="0.25">
      <c r="A5" s="35" t="s">
        <v>14</v>
      </c>
      <c r="B5" s="35" t="s">
        <v>44</v>
      </c>
      <c r="C5" s="36">
        <v>45925</v>
      </c>
      <c r="D5" s="35" t="s">
        <v>262</v>
      </c>
      <c r="E5" s="35" t="s">
        <v>91</v>
      </c>
      <c r="F5" s="35">
        <v>11</v>
      </c>
      <c r="G5" s="35" t="s">
        <v>78</v>
      </c>
      <c r="H5" s="35" t="s">
        <v>263</v>
      </c>
      <c r="I5" s="35" t="s">
        <v>264</v>
      </c>
      <c r="J5" s="35" t="s">
        <v>265</v>
      </c>
      <c r="K5" s="35" t="s">
        <v>266</v>
      </c>
      <c r="L5" s="35" t="s">
        <v>267</v>
      </c>
    </row>
    <row r="6" spans="1:12" ht="148.5" x14ac:dyDescent="0.25">
      <c r="A6" s="35" t="s">
        <v>14</v>
      </c>
      <c r="B6" s="35" t="s">
        <v>44</v>
      </c>
      <c r="C6" s="36">
        <v>45932</v>
      </c>
      <c r="D6" s="35" t="s">
        <v>208</v>
      </c>
      <c r="E6" s="35" t="s">
        <v>95</v>
      </c>
      <c r="F6" s="35">
        <v>89</v>
      </c>
      <c r="G6" s="35" t="s">
        <v>268</v>
      </c>
      <c r="H6" s="35" t="s">
        <v>269</v>
      </c>
      <c r="I6" s="35" t="s">
        <v>270</v>
      </c>
      <c r="J6" s="35" t="s">
        <v>271</v>
      </c>
      <c r="K6" s="35" t="s">
        <v>272</v>
      </c>
      <c r="L6" s="35" t="s">
        <v>273</v>
      </c>
    </row>
    <row r="7" spans="1:12" ht="132" x14ac:dyDescent="0.25">
      <c r="A7" s="35" t="s">
        <v>14</v>
      </c>
      <c r="B7" s="35" t="s">
        <v>44</v>
      </c>
      <c r="C7" s="36">
        <v>45973</v>
      </c>
      <c r="D7" s="35" t="s">
        <v>209</v>
      </c>
      <c r="E7" s="35" t="s">
        <v>92</v>
      </c>
      <c r="F7" s="35">
        <v>11</v>
      </c>
      <c r="G7" s="35" t="s">
        <v>74</v>
      </c>
      <c r="H7" s="35" t="s">
        <v>274</v>
      </c>
      <c r="I7" s="35" t="s">
        <v>275</v>
      </c>
      <c r="J7" s="35" t="s">
        <v>276</v>
      </c>
      <c r="K7" s="35" t="s">
        <v>277</v>
      </c>
      <c r="L7" s="35" t="s">
        <v>278</v>
      </c>
    </row>
    <row r="8" spans="1:12" ht="132" x14ac:dyDescent="0.25">
      <c r="A8" s="35" t="s">
        <v>14</v>
      </c>
      <c r="B8" s="35" t="s">
        <v>44</v>
      </c>
      <c r="C8" s="36">
        <v>46009</v>
      </c>
      <c r="D8" s="35" t="s">
        <v>279</v>
      </c>
      <c r="E8" s="35" t="s">
        <v>92</v>
      </c>
      <c r="F8" s="35">
        <v>11</v>
      </c>
      <c r="G8" s="35" t="s">
        <v>75</v>
      </c>
      <c r="H8" s="35" t="s">
        <v>280</v>
      </c>
      <c r="I8" s="35" t="s">
        <v>281</v>
      </c>
      <c r="J8" s="35" t="s">
        <v>282</v>
      </c>
      <c r="K8" s="35" t="s">
        <v>283</v>
      </c>
      <c r="L8" s="35" t="s">
        <v>284</v>
      </c>
    </row>
    <row r="9" spans="1:12" ht="132" x14ac:dyDescent="0.25">
      <c r="A9" s="35" t="s">
        <v>14</v>
      </c>
      <c r="B9" s="35" t="s">
        <v>44</v>
      </c>
      <c r="C9" s="36">
        <v>46064</v>
      </c>
      <c r="D9" s="35" t="s">
        <v>210</v>
      </c>
      <c r="E9" s="35" t="s">
        <v>94</v>
      </c>
      <c r="F9" s="35">
        <v>11</v>
      </c>
      <c r="G9" s="35" t="s">
        <v>76</v>
      </c>
      <c r="H9" s="35" t="s">
        <v>285</v>
      </c>
      <c r="I9" s="35" t="s">
        <v>286</v>
      </c>
      <c r="J9" s="35" t="s">
        <v>287</v>
      </c>
      <c r="K9" s="35" t="s">
        <v>288</v>
      </c>
      <c r="L9" s="35" t="s">
        <v>289</v>
      </c>
    </row>
    <row r="10" spans="1:12" ht="132" x14ac:dyDescent="0.25">
      <c r="A10" s="35" t="s">
        <v>14</v>
      </c>
      <c r="B10" s="35" t="s">
        <v>44</v>
      </c>
      <c r="C10" s="36">
        <v>46087</v>
      </c>
      <c r="D10" s="35" t="s">
        <v>290</v>
      </c>
      <c r="E10" s="35" t="s">
        <v>91</v>
      </c>
      <c r="F10" s="35" t="s">
        <v>291</v>
      </c>
      <c r="G10" s="35" t="s">
        <v>292</v>
      </c>
      <c r="H10" s="35" t="s">
        <v>293</v>
      </c>
      <c r="I10" s="35" t="s">
        <v>294</v>
      </c>
      <c r="J10" s="35" t="s">
        <v>295</v>
      </c>
      <c r="K10" s="35" t="s">
        <v>296</v>
      </c>
      <c r="L10" s="35" t="s">
        <v>297</v>
      </c>
    </row>
    <row r="11" spans="1:12" ht="132" x14ac:dyDescent="0.25">
      <c r="A11" s="35" t="s">
        <v>14</v>
      </c>
      <c r="B11" s="35" t="s">
        <v>44</v>
      </c>
      <c r="C11" s="36">
        <v>46126</v>
      </c>
      <c r="D11" s="35" t="s">
        <v>72</v>
      </c>
      <c r="E11" s="35" t="s">
        <v>91</v>
      </c>
      <c r="F11" s="35">
        <v>11</v>
      </c>
      <c r="G11" s="35" t="s">
        <v>78</v>
      </c>
      <c r="H11" s="35" t="s">
        <v>298</v>
      </c>
      <c r="I11" s="35" t="s">
        <v>299</v>
      </c>
      <c r="J11" s="35" t="s">
        <v>300</v>
      </c>
      <c r="K11" s="35" t="s">
        <v>301</v>
      </c>
      <c r="L11" s="35" t="s">
        <v>302</v>
      </c>
    </row>
    <row r="12" spans="1:12" ht="115.5" x14ac:dyDescent="0.25">
      <c r="A12" s="35" t="s">
        <v>14</v>
      </c>
      <c r="B12" s="35" t="s">
        <v>44</v>
      </c>
      <c r="C12" s="36">
        <v>46157</v>
      </c>
      <c r="D12" s="35" t="s">
        <v>303</v>
      </c>
      <c r="E12" s="35" t="s">
        <v>92</v>
      </c>
      <c r="F12" s="35">
        <v>11</v>
      </c>
      <c r="G12" s="35" t="s">
        <v>79</v>
      </c>
      <c r="H12" s="35" t="s">
        <v>304</v>
      </c>
      <c r="I12" s="35" t="s">
        <v>305</v>
      </c>
      <c r="J12" s="35" t="s">
        <v>306</v>
      </c>
      <c r="K12" s="35" t="s">
        <v>307</v>
      </c>
      <c r="L12" s="35" t="s">
        <v>308</v>
      </c>
    </row>
    <row r="13" spans="1:12" ht="115.5" x14ac:dyDescent="0.25">
      <c r="A13" s="35" t="s">
        <v>14</v>
      </c>
      <c r="B13" s="35" t="s">
        <v>44</v>
      </c>
      <c r="C13" s="36">
        <v>46190</v>
      </c>
      <c r="D13" s="35" t="s">
        <v>66</v>
      </c>
      <c r="E13" s="35" t="s">
        <v>98</v>
      </c>
      <c r="F13" s="35">
        <v>11</v>
      </c>
      <c r="G13" s="35" t="s">
        <v>74</v>
      </c>
      <c r="H13" s="35" t="s">
        <v>309</v>
      </c>
      <c r="I13" s="35" t="s">
        <v>310</v>
      </c>
      <c r="J13" s="35" t="s">
        <v>311</v>
      </c>
      <c r="K13" s="35" t="s">
        <v>312</v>
      </c>
      <c r="L13" s="35" t="s">
        <v>313</v>
      </c>
    </row>
    <row r="14" spans="1:12" ht="148.5" x14ac:dyDescent="0.25">
      <c r="A14" s="37" t="s">
        <v>42</v>
      </c>
      <c r="B14" s="37" t="s">
        <v>27</v>
      </c>
      <c r="C14" s="38">
        <v>45826</v>
      </c>
      <c r="D14" s="37" t="s">
        <v>256</v>
      </c>
      <c r="E14" s="37" t="s">
        <v>93</v>
      </c>
      <c r="F14" s="37">
        <v>23</v>
      </c>
      <c r="G14" s="37" t="s">
        <v>87</v>
      </c>
      <c r="H14" s="37" t="s">
        <v>257</v>
      </c>
      <c r="I14" s="37" t="s">
        <v>258</v>
      </c>
      <c r="J14" s="37" t="s">
        <v>259</v>
      </c>
      <c r="K14" s="37" t="s">
        <v>260</v>
      </c>
      <c r="L14" s="37" t="s">
        <v>261</v>
      </c>
    </row>
    <row r="15" spans="1:12" ht="148.5" x14ac:dyDescent="0.25">
      <c r="A15" s="37" t="s">
        <v>42</v>
      </c>
      <c r="B15" s="37" t="s">
        <v>27</v>
      </c>
      <c r="C15" s="38">
        <v>45924</v>
      </c>
      <c r="D15" s="37" t="s">
        <v>85</v>
      </c>
      <c r="E15" s="37" t="s">
        <v>93</v>
      </c>
      <c r="F15" s="37">
        <v>23</v>
      </c>
      <c r="G15" s="37" t="s">
        <v>87</v>
      </c>
      <c r="H15" s="37" t="s">
        <v>220</v>
      </c>
      <c r="I15" s="37" t="s">
        <v>221</v>
      </c>
      <c r="J15" s="37" t="s">
        <v>222</v>
      </c>
      <c r="K15" s="37" t="s">
        <v>223</v>
      </c>
      <c r="L15" s="37" t="s">
        <v>224</v>
      </c>
    </row>
    <row r="16" spans="1:12" ht="148.5" x14ac:dyDescent="0.25">
      <c r="A16" s="37" t="s">
        <v>42</v>
      </c>
      <c r="B16" s="37" t="s">
        <v>27</v>
      </c>
      <c r="C16" s="38">
        <v>45973</v>
      </c>
      <c r="D16" s="37" t="s">
        <v>89</v>
      </c>
      <c r="E16" s="37" t="s">
        <v>92</v>
      </c>
      <c r="F16" s="37">
        <v>23</v>
      </c>
      <c r="G16" s="37" t="s">
        <v>87</v>
      </c>
      <c r="H16" s="37" t="s">
        <v>225</v>
      </c>
      <c r="I16" s="37" t="s">
        <v>226</v>
      </c>
      <c r="J16" s="37" t="s">
        <v>227</v>
      </c>
      <c r="K16" s="37" t="s">
        <v>228</v>
      </c>
      <c r="L16" s="37" t="s">
        <v>229</v>
      </c>
    </row>
    <row r="17" spans="1:12" ht="148.5" x14ac:dyDescent="0.25">
      <c r="A17" s="37" t="s">
        <v>42</v>
      </c>
      <c r="B17" s="37" t="s">
        <v>27</v>
      </c>
      <c r="C17" s="38">
        <v>46007</v>
      </c>
      <c r="D17" s="37" t="s">
        <v>71</v>
      </c>
      <c r="E17" s="37" t="s">
        <v>94</v>
      </c>
      <c r="F17" s="37">
        <v>23</v>
      </c>
      <c r="G17" s="37" t="s">
        <v>87</v>
      </c>
      <c r="H17" s="37" t="s">
        <v>230</v>
      </c>
      <c r="I17" s="37" t="s">
        <v>231</v>
      </c>
      <c r="J17" s="37" t="s">
        <v>232</v>
      </c>
      <c r="K17" s="37" t="s">
        <v>233</v>
      </c>
      <c r="L17" s="37" t="s">
        <v>234</v>
      </c>
    </row>
    <row r="18" spans="1:12" ht="132" x14ac:dyDescent="0.25">
      <c r="A18" s="37" t="s">
        <v>42</v>
      </c>
      <c r="B18" s="37" t="s">
        <v>27</v>
      </c>
      <c r="C18" s="38">
        <v>46043</v>
      </c>
      <c r="D18" s="37" t="s">
        <v>103</v>
      </c>
      <c r="E18" s="37" t="s">
        <v>94</v>
      </c>
      <c r="F18" s="37">
        <v>23</v>
      </c>
      <c r="G18" s="37" t="s">
        <v>87</v>
      </c>
      <c r="H18" s="37" t="s">
        <v>235</v>
      </c>
      <c r="I18" s="37" t="s">
        <v>236</v>
      </c>
      <c r="J18" s="37" t="s">
        <v>237</v>
      </c>
      <c r="K18" s="37" t="s">
        <v>238</v>
      </c>
      <c r="L18" s="37" t="s">
        <v>239</v>
      </c>
    </row>
    <row r="19" spans="1:12" ht="132" x14ac:dyDescent="0.25">
      <c r="A19" s="37" t="s">
        <v>42</v>
      </c>
      <c r="B19" s="37" t="s">
        <v>27</v>
      </c>
      <c r="C19" s="38">
        <v>46090</v>
      </c>
      <c r="D19" s="37" t="s">
        <v>240</v>
      </c>
      <c r="E19" s="37" t="s">
        <v>93</v>
      </c>
      <c r="F19" s="37">
        <v>23</v>
      </c>
      <c r="G19" s="37" t="s">
        <v>87</v>
      </c>
      <c r="H19" s="37" t="s">
        <v>241</v>
      </c>
      <c r="I19" s="37" t="s">
        <v>242</v>
      </c>
      <c r="J19" s="37" t="s">
        <v>243</v>
      </c>
      <c r="K19" s="37" t="s">
        <v>244</v>
      </c>
      <c r="L19" s="37" t="s">
        <v>245</v>
      </c>
    </row>
    <row r="20" spans="1:12" ht="115.5" x14ac:dyDescent="0.25">
      <c r="A20" s="37" t="s">
        <v>42</v>
      </c>
      <c r="B20" s="37" t="s">
        <v>27</v>
      </c>
      <c r="C20" s="38">
        <v>46127</v>
      </c>
      <c r="D20" s="37" t="s">
        <v>105</v>
      </c>
      <c r="E20" s="37" t="s">
        <v>91</v>
      </c>
      <c r="F20" s="37">
        <v>23</v>
      </c>
      <c r="G20" s="37" t="s">
        <v>87</v>
      </c>
      <c r="H20" s="37" t="s">
        <v>246</v>
      </c>
      <c r="I20" s="37" t="s">
        <v>247</v>
      </c>
      <c r="J20" s="37" t="s">
        <v>248</v>
      </c>
      <c r="K20" s="37" t="s">
        <v>249</v>
      </c>
      <c r="L20" s="37" t="s">
        <v>250</v>
      </c>
    </row>
    <row r="21" spans="1:12" ht="148.5" x14ac:dyDescent="0.25">
      <c r="A21" s="37" t="s">
        <v>42</v>
      </c>
      <c r="B21" s="37" t="s">
        <v>27</v>
      </c>
      <c r="C21" s="38">
        <v>46163</v>
      </c>
      <c r="D21" s="37" t="s">
        <v>106</v>
      </c>
      <c r="E21" s="37" t="s">
        <v>91</v>
      </c>
      <c r="F21" s="37">
        <v>23</v>
      </c>
      <c r="G21" s="37" t="s">
        <v>87</v>
      </c>
      <c r="H21" s="37" t="s">
        <v>251</v>
      </c>
      <c r="I21" s="37" t="s">
        <v>252</v>
      </c>
      <c r="J21" s="37" t="s">
        <v>253</v>
      </c>
      <c r="K21" s="37" t="s">
        <v>254</v>
      </c>
      <c r="L21" s="37" t="s">
        <v>255</v>
      </c>
    </row>
    <row r="22" spans="1:12" ht="132" x14ac:dyDescent="0.25">
      <c r="A22" s="39" t="s">
        <v>16</v>
      </c>
      <c r="B22" s="39" t="s">
        <v>51</v>
      </c>
      <c r="C22" s="40" t="s">
        <v>64</v>
      </c>
      <c r="D22" s="39" t="s">
        <v>119</v>
      </c>
      <c r="E22" s="39" t="s">
        <v>120</v>
      </c>
      <c r="F22" s="39">
        <v>12</v>
      </c>
      <c r="G22" s="39" t="s">
        <v>51</v>
      </c>
      <c r="H22" s="39" t="s">
        <v>351</v>
      </c>
      <c r="I22" s="39" t="s">
        <v>352</v>
      </c>
      <c r="J22" s="39" t="s">
        <v>353</v>
      </c>
      <c r="K22" s="39" t="s">
        <v>354</v>
      </c>
      <c r="L22" s="39" t="s">
        <v>355</v>
      </c>
    </row>
    <row r="23" spans="1:12" ht="115.5" x14ac:dyDescent="0.25">
      <c r="A23" s="39" t="s">
        <v>16</v>
      </c>
      <c r="B23" s="39" t="s">
        <v>51</v>
      </c>
      <c r="C23" s="40" t="s">
        <v>59</v>
      </c>
      <c r="D23" s="39" t="s">
        <v>112</v>
      </c>
      <c r="E23" s="39" t="s">
        <v>113</v>
      </c>
      <c r="F23" s="39">
        <v>12</v>
      </c>
      <c r="G23" s="39" t="s">
        <v>51</v>
      </c>
      <c r="H23" s="39" t="s">
        <v>329</v>
      </c>
      <c r="I23" s="39" t="s">
        <v>330</v>
      </c>
      <c r="J23" s="39" t="s">
        <v>331</v>
      </c>
      <c r="K23" s="39" t="s">
        <v>332</v>
      </c>
      <c r="L23" s="39" t="s">
        <v>333</v>
      </c>
    </row>
    <row r="24" spans="1:12" ht="132" x14ac:dyDescent="0.25">
      <c r="A24" s="39" t="s">
        <v>16</v>
      </c>
      <c r="B24" s="39" t="s">
        <v>51</v>
      </c>
      <c r="C24" s="40" t="s">
        <v>61</v>
      </c>
      <c r="D24" s="39" t="s">
        <v>339</v>
      </c>
      <c r="E24" s="39" t="s">
        <v>340</v>
      </c>
      <c r="F24" s="39">
        <v>12</v>
      </c>
      <c r="G24" s="39" t="s">
        <v>51</v>
      </c>
      <c r="H24" s="39" t="s">
        <v>341</v>
      </c>
      <c r="I24" s="39" t="s">
        <v>342</v>
      </c>
      <c r="J24" s="39" t="s">
        <v>343</v>
      </c>
      <c r="K24" s="39" t="s">
        <v>344</v>
      </c>
      <c r="L24" s="39" t="s">
        <v>345</v>
      </c>
    </row>
    <row r="25" spans="1:12" ht="132" x14ac:dyDescent="0.25">
      <c r="A25" s="39" t="s">
        <v>16</v>
      </c>
      <c r="B25" s="39" t="s">
        <v>51</v>
      </c>
      <c r="C25" s="40" t="s">
        <v>114</v>
      </c>
      <c r="D25" s="39" t="s">
        <v>115</v>
      </c>
      <c r="E25" s="39" t="s">
        <v>108</v>
      </c>
      <c r="F25" s="39">
        <v>12</v>
      </c>
      <c r="G25" s="39" t="s">
        <v>51</v>
      </c>
      <c r="H25" s="39" t="s">
        <v>334</v>
      </c>
      <c r="I25" s="39" t="s">
        <v>335</v>
      </c>
      <c r="J25" s="39" t="s">
        <v>336</v>
      </c>
      <c r="K25" s="39" t="s">
        <v>337</v>
      </c>
      <c r="L25" s="39" t="s">
        <v>338</v>
      </c>
    </row>
    <row r="26" spans="1:12" ht="115.5" x14ac:dyDescent="0.25">
      <c r="A26" s="39" t="s">
        <v>16</v>
      </c>
      <c r="B26" s="39" t="s">
        <v>51</v>
      </c>
      <c r="C26" s="40" t="s">
        <v>122</v>
      </c>
      <c r="D26" s="39" t="s">
        <v>123</v>
      </c>
      <c r="E26" s="39" t="s">
        <v>110</v>
      </c>
      <c r="F26" s="39">
        <v>12</v>
      </c>
      <c r="G26" s="39" t="s">
        <v>51</v>
      </c>
      <c r="H26" s="39" t="s">
        <v>361</v>
      </c>
      <c r="I26" s="39" t="s">
        <v>362</v>
      </c>
      <c r="J26" s="39" t="s">
        <v>363</v>
      </c>
      <c r="K26" s="39" t="s">
        <v>364</v>
      </c>
      <c r="L26" s="39" t="s">
        <v>365</v>
      </c>
    </row>
    <row r="27" spans="1:12" ht="132" x14ac:dyDescent="0.25">
      <c r="A27" s="39" t="s">
        <v>16</v>
      </c>
      <c r="B27" s="39" t="s">
        <v>51</v>
      </c>
      <c r="C27" s="40" t="s">
        <v>65</v>
      </c>
      <c r="D27" s="39" t="s">
        <v>204</v>
      </c>
      <c r="E27" s="39" t="s">
        <v>110</v>
      </c>
      <c r="F27" s="39">
        <v>12</v>
      </c>
      <c r="G27" s="39" t="s">
        <v>51</v>
      </c>
      <c r="H27" s="39" t="s">
        <v>356</v>
      </c>
      <c r="I27" s="39" t="s">
        <v>357</v>
      </c>
      <c r="J27" s="39" t="s">
        <v>358</v>
      </c>
      <c r="K27" s="39" t="s">
        <v>359</v>
      </c>
      <c r="L27" s="39" t="s">
        <v>360</v>
      </c>
    </row>
    <row r="28" spans="1:12" ht="115.5" x14ac:dyDescent="0.25">
      <c r="A28" s="39" t="s">
        <v>16</v>
      </c>
      <c r="B28" s="39" t="s">
        <v>51</v>
      </c>
      <c r="C28" s="40" t="s">
        <v>62</v>
      </c>
      <c r="D28" s="39" t="s">
        <v>118</v>
      </c>
      <c r="E28" s="39" t="s">
        <v>110</v>
      </c>
      <c r="F28" s="39">
        <v>12</v>
      </c>
      <c r="G28" s="39" t="s">
        <v>51</v>
      </c>
      <c r="H28" s="39" t="s">
        <v>346</v>
      </c>
      <c r="I28" s="39" t="s">
        <v>347</v>
      </c>
      <c r="J28" s="39" t="s">
        <v>348</v>
      </c>
      <c r="K28" s="39" t="s">
        <v>349</v>
      </c>
      <c r="L28" s="39" t="s">
        <v>350</v>
      </c>
    </row>
    <row r="29" spans="1:12" ht="115.5" x14ac:dyDescent="0.25">
      <c r="A29" s="39" t="s">
        <v>16</v>
      </c>
      <c r="B29" s="39" t="s">
        <v>51</v>
      </c>
      <c r="C29" s="40" t="s">
        <v>58</v>
      </c>
      <c r="D29" s="39" t="s">
        <v>89</v>
      </c>
      <c r="E29" s="39" t="s">
        <v>108</v>
      </c>
      <c r="F29" s="39">
        <v>12</v>
      </c>
      <c r="G29" s="39" t="s">
        <v>51</v>
      </c>
      <c r="H29" s="39" t="s">
        <v>324</v>
      </c>
      <c r="I29" s="39" t="s">
        <v>325</v>
      </c>
      <c r="J29" s="39" t="s">
        <v>326</v>
      </c>
      <c r="K29" s="39" t="s">
        <v>327</v>
      </c>
      <c r="L29" s="39" t="s">
        <v>328</v>
      </c>
    </row>
    <row r="30" spans="1:12" ht="148.5" x14ac:dyDescent="0.25">
      <c r="A30" s="39" t="s">
        <v>16</v>
      </c>
      <c r="B30" s="39" t="s">
        <v>51</v>
      </c>
      <c r="C30" s="40" t="s">
        <v>109</v>
      </c>
      <c r="D30" s="39" t="s">
        <v>211</v>
      </c>
      <c r="E30" s="39" t="s">
        <v>110</v>
      </c>
      <c r="F30" s="39" t="s">
        <v>133</v>
      </c>
      <c r="G30" s="39" t="s">
        <v>212</v>
      </c>
      <c r="H30" s="39" t="s">
        <v>319</v>
      </c>
      <c r="I30" s="39" t="s">
        <v>320</v>
      </c>
      <c r="J30" s="39" t="s">
        <v>321</v>
      </c>
      <c r="K30" s="39" t="s">
        <v>322</v>
      </c>
      <c r="L30" s="39" t="s">
        <v>323</v>
      </c>
    </row>
    <row r="31" spans="1:12" ht="115.5" x14ac:dyDescent="0.25">
      <c r="A31" s="39" t="s">
        <v>16</v>
      </c>
      <c r="B31" s="39" t="s">
        <v>51</v>
      </c>
      <c r="C31" s="40" t="s">
        <v>55</v>
      </c>
      <c r="D31" s="39" t="s">
        <v>66</v>
      </c>
      <c r="E31" s="39" t="s">
        <v>108</v>
      </c>
      <c r="F31" s="39">
        <v>12</v>
      </c>
      <c r="G31" s="39" t="s">
        <v>51</v>
      </c>
      <c r="H31" s="39" t="s">
        <v>314</v>
      </c>
      <c r="I31" s="39" t="s">
        <v>315</v>
      </c>
      <c r="J31" s="39" t="s">
        <v>316</v>
      </c>
      <c r="K31" s="39" t="s">
        <v>317</v>
      </c>
      <c r="L31" s="39" t="s">
        <v>318</v>
      </c>
    </row>
    <row r="32" spans="1:12" ht="115.5" x14ac:dyDescent="0.25">
      <c r="A32" s="41" t="s">
        <v>18</v>
      </c>
      <c r="B32" s="41" t="s">
        <v>29</v>
      </c>
      <c r="C32" s="42" t="s">
        <v>64</v>
      </c>
      <c r="D32" s="41" t="s">
        <v>119</v>
      </c>
      <c r="E32" s="41" t="s">
        <v>120</v>
      </c>
      <c r="F32" s="41">
        <v>9</v>
      </c>
      <c r="G32" s="41" t="s">
        <v>29</v>
      </c>
      <c r="H32" s="41" t="s">
        <v>403</v>
      </c>
      <c r="I32" s="41" t="s">
        <v>404</v>
      </c>
      <c r="J32" s="41" t="s">
        <v>405</v>
      </c>
      <c r="K32" s="41" t="s">
        <v>406</v>
      </c>
      <c r="L32" s="41" t="s">
        <v>407</v>
      </c>
    </row>
    <row r="33" spans="1:12" ht="132" x14ac:dyDescent="0.25">
      <c r="A33" s="41" t="s">
        <v>18</v>
      </c>
      <c r="B33" s="41" t="s">
        <v>29</v>
      </c>
      <c r="C33" s="42" t="s">
        <v>59</v>
      </c>
      <c r="D33" s="41" t="s">
        <v>115</v>
      </c>
      <c r="E33" s="41" t="s">
        <v>138</v>
      </c>
      <c r="F33" s="41">
        <v>9</v>
      </c>
      <c r="G33" s="41" t="s">
        <v>29</v>
      </c>
      <c r="H33" s="41" t="s">
        <v>381</v>
      </c>
      <c r="I33" s="41" t="s">
        <v>382</v>
      </c>
      <c r="J33" s="41" t="s">
        <v>383</v>
      </c>
      <c r="K33" s="41" t="s">
        <v>384</v>
      </c>
      <c r="L33" s="41" t="s">
        <v>385</v>
      </c>
    </row>
    <row r="34" spans="1:12" ht="115.5" x14ac:dyDescent="0.25">
      <c r="A34" s="41" t="s">
        <v>18</v>
      </c>
      <c r="B34" s="41" t="s">
        <v>29</v>
      </c>
      <c r="C34" s="42" t="s">
        <v>61</v>
      </c>
      <c r="D34" s="41" t="s">
        <v>391</v>
      </c>
      <c r="E34" s="41" t="s">
        <v>340</v>
      </c>
      <c r="F34" s="41">
        <v>9</v>
      </c>
      <c r="G34" s="41" t="s">
        <v>29</v>
      </c>
      <c r="H34" s="41" t="s">
        <v>392</v>
      </c>
      <c r="I34" s="41" t="s">
        <v>393</v>
      </c>
      <c r="J34" s="41" t="s">
        <v>394</v>
      </c>
      <c r="K34" s="41" t="s">
        <v>395</v>
      </c>
      <c r="L34" s="41" t="s">
        <v>396</v>
      </c>
    </row>
    <row r="35" spans="1:12" ht="115.5" x14ac:dyDescent="0.25">
      <c r="A35" s="41" t="s">
        <v>18</v>
      </c>
      <c r="B35" s="41" t="s">
        <v>29</v>
      </c>
      <c r="C35" s="42" t="s">
        <v>114</v>
      </c>
      <c r="D35" s="41" t="s">
        <v>112</v>
      </c>
      <c r="E35" s="41" t="s">
        <v>140</v>
      </c>
      <c r="F35" s="41">
        <v>9</v>
      </c>
      <c r="G35" s="41" t="s">
        <v>29</v>
      </c>
      <c r="H35" s="41" t="s">
        <v>386</v>
      </c>
      <c r="I35" s="41" t="s">
        <v>387</v>
      </c>
      <c r="J35" s="41" t="s">
        <v>388</v>
      </c>
      <c r="K35" s="41" t="s">
        <v>389</v>
      </c>
      <c r="L35" s="41" t="s">
        <v>390</v>
      </c>
    </row>
    <row r="36" spans="1:12" ht="115.5" x14ac:dyDescent="0.25">
      <c r="A36" s="41" t="s">
        <v>18</v>
      </c>
      <c r="B36" s="41" t="s">
        <v>29</v>
      </c>
      <c r="C36" s="42" t="s">
        <v>122</v>
      </c>
      <c r="D36" s="41" t="s">
        <v>150</v>
      </c>
      <c r="E36" s="41" t="s">
        <v>110</v>
      </c>
      <c r="F36" s="41">
        <v>9</v>
      </c>
      <c r="G36" s="41" t="s">
        <v>29</v>
      </c>
      <c r="H36" s="41" t="s">
        <v>413</v>
      </c>
      <c r="I36" s="41" t="s">
        <v>414</v>
      </c>
      <c r="J36" s="41" t="s">
        <v>415</v>
      </c>
      <c r="K36" s="41" t="s">
        <v>416</v>
      </c>
      <c r="L36" s="41" t="s">
        <v>417</v>
      </c>
    </row>
    <row r="37" spans="1:12" ht="132" x14ac:dyDescent="0.25">
      <c r="A37" s="41" t="s">
        <v>18</v>
      </c>
      <c r="B37" s="41" t="s">
        <v>29</v>
      </c>
      <c r="C37" s="42" t="s">
        <v>65</v>
      </c>
      <c r="D37" s="41" t="s">
        <v>123</v>
      </c>
      <c r="E37" s="41" t="s">
        <v>149</v>
      </c>
      <c r="F37" s="41">
        <v>9</v>
      </c>
      <c r="G37" s="41" t="s">
        <v>29</v>
      </c>
      <c r="H37" s="41" t="s">
        <v>408</v>
      </c>
      <c r="I37" s="41" t="s">
        <v>409</v>
      </c>
      <c r="J37" s="41" t="s">
        <v>410</v>
      </c>
      <c r="K37" s="41" t="s">
        <v>411</v>
      </c>
      <c r="L37" s="41" t="s">
        <v>412</v>
      </c>
    </row>
    <row r="38" spans="1:12" ht="132" x14ac:dyDescent="0.25">
      <c r="A38" s="41" t="s">
        <v>18</v>
      </c>
      <c r="B38" s="41" t="s">
        <v>29</v>
      </c>
      <c r="C38" s="42" t="s">
        <v>62</v>
      </c>
      <c r="D38" s="41" t="s">
        <v>144</v>
      </c>
      <c r="E38" s="41" t="s">
        <v>397</v>
      </c>
      <c r="F38" s="41">
        <v>9</v>
      </c>
      <c r="G38" s="41" t="s">
        <v>29</v>
      </c>
      <c r="H38" s="41" t="s">
        <v>398</v>
      </c>
      <c r="I38" s="41" t="s">
        <v>399</v>
      </c>
      <c r="J38" s="41" t="s">
        <v>400</v>
      </c>
      <c r="K38" s="41" t="s">
        <v>401</v>
      </c>
      <c r="L38" s="41" t="s">
        <v>402</v>
      </c>
    </row>
    <row r="39" spans="1:12" ht="115.5" x14ac:dyDescent="0.25">
      <c r="A39" s="41" t="s">
        <v>18</v>
      </c>
      <c r="B39" s="41" t="s">
        <v>29</v>
      </c>
      <c r="C39" s="42" t="s">
        <v>58</v>
      </c>
      <c r="D39" s="41" t="s">
        <v>375</v>
      </c>
      <c r="E39" s="41" t="s">
        <v>136</v>
      </c>
      <c r="F39" s="41">
        <v>9</v>
      </c>
      <c r="G39" s="41" t="s">
        <v>29</v>
      </c>
      <c r="H39" s="41" t="s">
        <v>376</v>
      </c>
      <c r="I39" s="41" t="s">
        <v>377</v>
      </c>
      <c r="J39" s="41" t="s">
        <v>378</v>
      </c>
      <c r="K39" s="41" t="s">
        <v>379</v>
      </c>
      <c r="L39" s="41" t="s">
        <v>380</v>
      </c>
    </row>
    <row r="40" spans="1:12" ht="99" x14ac:dyDescent="0.25">
      <c r="A40" s="41" t="s">
        <v>18</v>
      </c>
      <c r="B40" s="41" t="s">
        <v>29</v>
      </c>
      <c r="C40" s="42" t="s">
        <v>109</v>
      </c>
      <c r="D40" s="41" t="s">
        <v>66</v>
      </c>
      <c r="E40" s="41" t="s">
        <v>108</v>
      </c>
      <c r="F40" s="41">
        <v>9</v>
      </c>
      <c r="G40" s="41" t="s">
        <v>29</v>
      </c>
      <c r="H40" s="41" t="s">
        <v>370</v>
      </c>
      <c r="I40" s="41" t="s">
        <v>371</v>
      </c>
      <c r="J40" s="41" t="s">
        <v>372</v>
      </c>
      <c r="K40" s="41" t="s">
        <v>373</v>
      </c>
      <c r="L40" s="41" t="s">
        <v>374</v>
      </c>
    </row>
    <row r="41" spans="1:12" ht="132" x14ac:dyDescent="0.25">
      <c r="A41" s="41" t="s">
        <v>18</v>
      </c>
      <c r="B41" s="41" t="s">
        <v>29</v>
      </c>
      <c r="C41" s="42" t="s">
        <v>55</v>
      </c>
      <c r="D41" s="41" t="s">
        <v>213</v>
      </c>
      <c r="E41" s="41" t="s">
        <v>57</v>
      </c>
      <c r="F41" s="41" t="s">
        <v>133</v>
      </c>
      <c r="G41" s="41" t="s">
        <v>212</v>
      </c>
      <c r="H41" s="41" t="s">
        <v>366</v>
      </c>
      <c r="I41" s="41" t="s">
        <v>367</v>
      </c>
      <c r="J41" s="41" t="s">
        <v>368</v>
      </c>
      <c r="K41" s="41" t="s">
        <v>214</v>
      </c>
      <c r="L41" s="41" t="s">
        <v>369</v>
      </c>
    </row>
    <row r="42" spans="1:12" ht="99" x14ac:dyDescent="0.25">
      <c r="A42" s="43" t="s">
        <v>20</v>
      </c>
      <c r="B42" s="43" t="s">
        <v>2</v>
      </c>
      <c r="C42" s="44" t="s">
        <v>59</v>
      </c>
      <c r="D42" s="43" t="s">
        <v>112</v>
      </c>
      <c r="E42" s="43" t="s">
        <v>611</v>
      </c>
      <c r="F42" s="43">
        <v>9</v>
      </c>
      <c r="G42" s="43" t="s">
        <v>2</v>
      </c>
      <c r="H42" s="43" t="s">
        <v>612</v>
      </c>
      <c r="I42" s="43" t="s">
        <v>613</v>
      </c>
      <c r="J42" s="43" t="s">
        <v>614</v>
      </c>
      <c r="K42" s="43" t="s">
        <v>615</v>
      </c>
      <c r="L42" s="43" t="s">
        <v>616</v>
      </c>
    </row>
    <row r="43" spans="1:12" ht="99" x14ac:dyDescent="0.25">
      <c r="A43" s="43" t="s">
        <v>20</v>
      </c>
      <c r="B43" s="43" t="s">
        <v>2</v>
      </c>
      <c r="C43" s="44" t="s">
        <v>61</v>
      </c>
      <c r="D43" s="43" t="s">
        <v>115</v>
      </c>
      <c r="E43" s="43" t="s">
        <v>625</v>
      </c>
      <c r="F43" s="43">
        <v>9</v>
      </c>
      <c r="G43" s="43" t="s">
        <v>2</v>
      </c>
      <c r="H43" s="43" t="s">
        <v>626</v>
      </c>
      <c r="I43" s="43" t="s">
        <v>627</v>
      </c>
      <c r="J43" s="43" t="s">
        <v>628</v>
      </c>
      <c r="K43" s="43" t="s">
        <v>629</v>
      </c>
      <c r="L43" s="43" t="s">
        <v>630</v>
      </c>
    </row>
    <row r="44" spans="1:12" ht="82.5" x14ac:dyDescent="0.25">
      <c r="A44" s="43" t="s">
        <v>20</v>
      </c>
      <c r="B44" s="43" t="s">
        <v>2</v>
      </c>
      <c r="C44" s="44" t="s">
        <v>114</v>
      </c>
      <c r="D44" s="43" t="s">
        <v>617</v>
      </c>
      <c r="E44" s="43" t="s">
        <v>618</v>
      </c>
      <c r="F44" s="43">
        <v>9</v>
      </c>
      <c r="G44" s="43" t="s">
        <v>619</v>
      </c>
      <c r="H44" s="43" t="s">
        <v>620</v>
      </c>
      <c r="I44" s="43" t="s">
        <v>621</v>
      </c>
      <c r="J44" s="43" t="s">
        <v>622</v>
      </c>
      <c r="K44" s="43" t="s">
        <v>623</v>
      </c>
      <c r="L44" s="43" t="s">
        <v>624</v>
      </c>
    </row>
    <row r="45" spans="1:12" ht="115.5" x14ac:dyDescent="0.25">
      <c r="A45" s="43" t="s">
        <v>20</v>
      </c>
      <c r="B45" s="43" t="s">
        <v>2</v>
      </c>
      <c r="C45" s="44" t="s">
        <v>590</v>
      </c>
      <c r="D45" s="43" t="s">
        <v>645</v>
      </c>
      <c r="E45" s="43" t="s">
        <v>625</v>
      </c>
      <c r="F45" s="43">
        <v>9</v>
      </c>
      <c r="G45" s="43" t="s">
        <v>2</v>
      </c>
      <c r="H45" s="43" t="s">
        <v>646</v>
      </c>
      <c r="I45" s="43" t="s">
        <v>647</v>
      </c>
      <c r="J45" s="43" t="s">
        <v>648</v>
      </c>
      <c r="K45" s="43" t="s">
        <v>649</v>
      </c>
      <c r="L45" s="43" t="s">
        <v>650</v>
      </c>
    </row>
    <row r="46" spans="1:12" ht="99" x14ac:dyDescent="0.25">
      <c r="A46" s="43" t="s">
        <v>20</v>
      </c>
      <c r="B46" s="43" t="s">
        <v>2</v>
      </c>
      <c r="C46" s="44" t="s">
        <v>590</v>
      </c>
      <c r="D46" s="43" t="s">
        <v>651</v>
      </c>
      <c r="E46" s="43" t="s">
        <v>652</v>
      </c>
      <c r="F46" s="43">
        <v>9</v>
      </c>
      <c r="G46" s="43" t="s">
        <v>653</v>
      </c>
      <c r="H46" s="43" t="s">
        <v>654</v>
      </c>
      <c r="I46" s="43" t="s">
        <v>655</v>
      </c>
      <c r="J46" s="43" t="s">
        <v>656</v>
      </c>
      <c r="K46" s="43" t="s">
        <v>657</v>
      </c>
      <c r="L46" s="43" t="s">
        <v>658</v>
      </c>
    </row>
    <row r="47" spans="1:12" ht="82.5" x14ac:dyDescent="0.25">
      <c r="A47" s="43" t="s">
        <v>20</v>
      </c>
      <c r="B47" s="43" t="s">
        <v>2</v>
      </c>
      <c r="C47" s="44" t="s">
        <v>590</v>
      </c>
      <c r="D47" s="43" t="s">
        <v>659</v>
      </c>
      <c r="E47" s="43" t="s">
        <v>539</v>
      </c>
      <c r="F47" s="43" t="s">
        <v>133</v>
      </c>
      <c r="G47" s="43" t="s">
        <v>212</v>
      </c>
      <c r="H47" s="43" t="s">
        <v>660</v>
      </c>
      <c r="I47" s="43" t="s">
        <v>661</v>
      </c>
      <c r="J47" s="43" t="s">
        <v>662</v>
      </c>
      <c r="K47" s="43" t="s">
        <v>663</v>
      </c>
      <c r="L47" s="43" t="s">
        <v>664</v>
      </c>
    </row>
    <row r="48" spans="1:12" ht="82.5" x14ac:dyDescent="0.25">
      <c r="A48" s="43" t="s">
        <v>20</v>
      </c>
      <c r="B48" s="43" t="s">
        <v>2</v>
      </c>
      <c r="C48" s="44" t="s">
        <v>65</v>
      </c>
      <c r="D48" s="43" t="s">
        <v>638</v>
      </c>
      <c r="E48" s="43" t="s">
        <v>639</v>
      </c>
      <c r="F48" s="43">
        <v>9</v>
      </c>
      <c r="G48" s="43" t="s">
        <v>2</v>
      </c>
      <c r="H48" s="43" t="s">
        <v>640</v>
      </c>
      <c r="I48" s="43" t="s">
        <v>641</v>
      </c>
      <c r="J48" s="43" t="s">
        <v>642</v>
      </c>
      <c r="K48" s="43" t="s">
        <v>643</v>
      </c>
      <c r="L48" s="43" t="s">
        <v>644</v>
      </c>
    </row>
    <row r="49" spans="1:12" ht="99" x14ac:dyDescent="0.25">
      <c r="A49" s="43" t="s">
        <v>20</v>
      </c>
      <c r="B49" s="43" t="s">
        <v>2</v>
      </c>
      <c r="C49" s="44" t="s">
        <v>62</v>
      </c>
      <c r="D49" s="43" t="s">
        <v>631</v>
      </c>
      <c r="E49" s="43" t="s">
        <v>632</v>
      </c>
      <c r="F49" s="43">
        <v>9</v>
      </c>
      <c r="G49" s="43" t="s">
        <v>2</v>
      </c>
      <c r="H49" s="43" t="s">
        <v>633</v>
      </c>
      <c r="I49" s="43" t="s">
        <v>634</v>
      </c>
      <c r="J49" s="43" t="s">
        <v>635</v>
      </c>
      <c r="K49" s="43" t="s">
        <v>636</v>
      </c>
      <c r="L49" s="43" t="s">
        <v>637</v>
      </c>
    </row>
    <row r="50" spans="1:12" ht="99" x14ac:dyDescent="0.25">
      <c r="A50" s="43" t="s">
        <v>20</v>
      </c>
      <c r="B50" s="43" t="s">
        <v>2</v>
      </c>
      <c r="C50" s="44" t="s">
        <v>58</v>
      </c>
      <c r="D50" s="43" t="s">
        <v>604</v>
      </c>
      <c r="E50" s="43" t="s">
        <v>605</v>
      </c>
      <c r="F50" s="43" t="s">
        <v>133</v>
      </c>
      <c r="G50" s="43" t="s">
        <v>212</v>
      </c>
      <c r="H50" s="43" t="s">
        <v>606</v>
      </c>
      <c r="I50" s="43" t="s">
        <v>607</v>
      </c>
      <c r="J50" s="43" t="s">
        <v>608</v>
      </c>
      <c r="K50" s="43" t="s">
        <v>609</v>
      </c>
      <c r="L50" s="43" t="s">
        <v>610</v>
      </c>
    </row>
    <row r="51" spans="1:12" ht="99" x14ac:dyDescent="0.25">
      <c r="A51" s="43" t="s">
        <v>20</v>
      </c>
      <c r="B51" s="43" t="s">
        <v>2</v>
      </c>
      <c r="C51" s="44" t="s">
        <v>109</v>
      </c>
      <c r="D51" s="43" t="s">
        <v>597</v>
      </c>
      <c r="E51" s="43" t="s">
        <v>568</v>
      </c>
      <c r="F51" s="43">
        <v>9</v>
      </c>
      <c r="G51" s="43" t="s">
        <v>598</v>
      </c>
      <c r="H51" s="43" t="s">
        <v>599</v>
      </c>
      <c r="I51" s="43" t="s">
        <v>600</v>
      </c>
      <c r="J51" s="43" t="s">
        <v>601</v>
      </c>
      <c r="K51" s="43" t="s">
        <v>602</v>
      </c>
      <c r="L51" s="43" t="s">
        <v>603</v>
      </c>
    </row>
    <row r="52" spans="1:12" ht="66" x14ac:dyDescent="0.25">
      <c r="A52" s="45" t="s">
        <v>25</v>
      </c>
      <c r="B52" s="45" t="s">
        <v>2</v>
      </c>
      <c r="C52" s="46" t="s">
        <v>59</v>
      </c>
      <c r="D52" s="45" t="s">
        <v>115</v>
      </c>
      <c r="E52" s="45" t="s">
        <v>625</v>
      </c>
      <c r="F52" s="45">
        <v>9</v>
      </c>
      <c r="G52" s="45" t="s">
        <v>2</v>
      </c>
      <c r="H52" s="45" t="s">
        <v>677</v>
      </c>
      <c r="I52" s="45" t="s">
        <v>678</v>
      </c>
      <c r="J52" s="45" t="s">
        <v>679</v>
      </c>
      <c r="K52" s="45" t="s">
        <v>680</v>
      </c>
      <c r="L52" s="45" t="s">
        <v>681</v>
      </c>
    </row>
    <row r="53" spans="1:12" ht="82.5" x14ac:dyDescent="0.25">
      <c r="A53" s="45" t="s">
        <v>25</v>
      </c>
      <c r="B53" s="45" t="s">
        <v>2</v>
      </c>
      <c r="C53" s="46" t="s">
        <v>61</v>
      </c>
      <c r="D53" s="45" t="s">
        <v>690</v>
      </c>
      <c r="E53" s="45" t="s">
        <v>691</v>
      </c>
      <c r="F53" s="45">
        <v>9</v>
      </c>
      <c r="G53" s="45" t="s">
        <v>619</v>
      </c>
      <c r="H53" s="45" t="s">
        <v>692</v>
      </c>
      <c r="I53" s="45" t="s">
        <v>693</v>
      </c>
      <c r="J53" s="45" t="s">
        <v>694</v>
      </c>
      <c r="K53" s="45" t="s">
        <v>695</v>
      </c>
      <c r="L53" s="45" t="s">
        <v>696</v>
      </c>
    </row>
    <row r="54" spans="1:12" ht="82.5" x14ac:dyDescent="0.25">
      <c r="A54" s="45" t="s">
        <v>25</v>
      </c>
      <c r="B54" s="45" t="s">
        <v>2</v>
      </c>
      <c r="C54" s="46" t="s">
        <v>114</v>
      </c>
      <c r="D54" s="45" t="s">
        <v>682</v>
      </c>
      <c r="E54" s="45" t="s">
        <v>683</v>
      </c>
      <c r="F54" s="45">
        <v>9</v>
      </c>
      <c r="G54" s="45" t="s">
        <v>684</v>
      </c>
      <c r="H54" s="45" t="s">
        <v>685</v>
      </c>
      <c r="I54" s="45" t="s">
        <v>686</v>
      </c>
      <c r="J54" s="45" t="s">
        <v>687</v>
      </c>
      <c r="K54" s="45" t="s">
        <v>688</v>
      </c>
      <c r="L54" s="45" t="s">
        <v>689</v>
      </c>
    </row>
    <row r="55" spans="1:12" ht="82.5" x14ac:dyDescent="0.25">
      <c r="A55" s="45" t="s">
        <v>25</v>
      </c>
      <c r="B55" s="45" t="s">
        <v>2</v>
      </c>
      <c r="C55" s="46" t="s">
        <v>590</v>
      </c>
      <c r="D55" s="45" t="s">
        <v>714</v>
      </c>
      <c r="E55" s="45" t="s">
        <v>715</v>
      </c>
      <c r="F55" s="45">
        <v>9</v>
      </c>
      <c r="G55" s="45" t="s">
        <v>2</v>
      </c>
      <c r="H55" s="45" t="s">
        <v>716</v>
      </c>
      <c r="I55" s="45" t="s">
        <v>717</v>
      </c>
      <c r="J55" s="45" t="s">
        <v>718</v>
      </c>
      <c r="K55" s="45" t="s">
        <v>719</v>
      </c>
      <c r="L55" s="45" t="s">
        <v>720</v>
      </c>
    </row>
    <row r="56" spans="1:12" ht="82.5" x14ac:dyDescent="0.25">
      <c r="A56" s="45" t="s">
        <v>25</v>
      </c>
      <c r="B56" s="45" t="s">
        <v>2</v>
      </c>
      <c r="C56" s="46" t="s">
        <v>590</v>
      </c>
      <c r="D56" s="45" t="s">
        <v>721</v>
      </c>
      <c r="E56" s="45" t="s">
        <v>553</v>
      </c>
      <c r="F56" s="45">
        <v>9</v>
      </c>
      <c r="G56" s="45" t="s">
        <v>619</v>
      </c>
      <c r="H56" s="45" t="s">
        <v>722</v>
      </c>
      <c r="I56" s="45" t="s">
        <v>723</v>
      </c>
      <c r="J56" s="45" t="s">
        <v>724</v>
      </c>
      <c r="K56" s="45" t="s">
        <v>725</v>
      </c>
      <c r="L56" s="45" t="s">
        <v>726</v>
      </c>
    </row>
    <row r="57" spans="1:12" ht="82.5" x14ac:dyDescent="0.25">
      <c r="A57" s="45" t="s">
        <v>25</v>
      </c>
      <c r="B57" s="45" t="s">
        <v>2</v>
      </c>
      <c r="C57" s="46" t="s">
        <v>590</v>
      </c>
      <c r="D57" s="45" t="s">
        <v>727</v>
      </c>
      <c r="E57" s="45" t="s">
        <v>728</v>
      </c>
      <c r="F57" s="45">
        <v>9</v>
      </c>
      <c r="G57" s="45" t="s">
        <v>2</v>
      </c>
      <c r="H57" s="45" t="s">
        <v>729</v>
      </c>
      <c r="I57" s="45" t="s">
        <v>730</v>
      </c>
      <c r="J57" s="45" t="s">
        <v>731</v>
      </c>
      <c r="K57" s="45" t="s">
        <v>732</v>
      </c>
      <c r="L57" s="45" t="s">
        <v>733</v>
      </c>
    </row>
    <row r="58" spans="1:12" ht="82.5" x14ac:dyDescent="0.25">
      <c r="A58" s="45" t="s">
        <v>25</v>
      </c>
      <c r="B58" s="45" t="s">
        <v>2</v>
      </c>
      <c r="C58" s="46" t="s">
        <v>65</v>
      </c>
      <c r="D58" s="45" t="s">
        <v>60</v>
      </c>
      <c r="E58" s="45" t="s">
        <v>683</v>
      </c>
      <c r="F58" s="45">
        <v>9</v>
      </c>
      <c r="G58" s="45" t="s">
        <v>2</v>
      </c>
      <c r="H58" s="45" t="s">
        <v>703</v>
      </c>
      <c r="I58" s="45" t="s">
        <v>704</v>
      </c>
      <c r="J58" s="45" t="s">
        <v>705</v>
      </c>
      <c r="K58" s="45" t="s">
        <v>706</v>
      </c>
      <c r="L58" s="45" t="s">
        <v>707</v>
      </c>
    </row>
    <row r="59" spans="1:12" ht="82.5" x14ac:dyDescent="0.25">
      <c r="A59" s="45" t="s">
        <v>25</v>
      </c>
      <c r="B59" s="45" t="s">
        <v>2</v>
      </c>
      <c r="C59" s="46" t="s">
        <v>65</v>
      </c>
      <c r="D59" s="45" t="s">
        <v>708</v>
      </c>
      <c r="E59" s="45" t="s">
        <v>625</v>
      </c>
      <c r="F59" s="45">
        <v>9</v>
      </c>
      <c r="G59" s="45" t="s">
        <v>2</v>
      </c>
      <c r="H59" s="45" t="s">
        <v>709</v>
      </c>
      <c r="I59" s="45" t="s">
        <v>710</v>
      </c>
      <c r="J59" s="45" t="s">
        <v>711</v>
      </c>
      <c r="K59" s="45" t="s">
        <v>712</v>
      </c>
      <c r="L59" s="45" t="s">
        <v>713</v>
      </c>
    </row>
    <row r="60" spans="1:12" ht="82.5" x14ac:dyDescent="0.25">
      <c r="A60" s="45" t="s">
        <v>25</v>
      </c>
      <c r="B60" s="45" t="s">
        <v>2</v>
      </c>
      <c r="C60" s="46" t="s">
        <v>62</v>
      </c>
      <c r="D60" s="45" t="s">
        <v>697</v>
      </c>
      <c r="E60" s="45" t="s">
        <v>671</v>
      </c>
      <c r="F60" s="45">
        <v>9</v>
      </c>
      <c r="G60" s="45" t="s">
        <v>2</v>
      </c>
      <c r="H60" s="45" t="s">
        <v>698</v>
      </c>
      <c r="I60" s="45" t="s">
        <v>699</v>
      </c>
      <c r="J60" s="45" t="s">
        <v>700</v>
      </c>
      <c r="K60" s="45" t="s">
        <v>701</v>
      </c>
      <c r="L60" s="45" t="s">
        <v>702</v>
      </c>
    </row>
    <row r="61" spans="1:12" ht="99" x14ac:dyDescent="0.25">
      <c r="A61" s="45" t="s">
        <v>25</v>
      </c>
      <c r="B61" s="45" t="s">
        <v>2</v>
      </c>
      <c r="C61" s="46" t="s">
        <v>58</v>
      </c>
      <c r="D61" s="45" t="s">
        <v>604</v>
      </c>
      <c r="E61" s="45" t="s">
        <v>671</v>
      </c>
      <c r="F61" s="45" t="s">
        <v>133</v>
      </c>
      <c r="G61" s="45" t="s">
        <v>212</v>
      </c>
      <c r="H61" s="45" t="s">
        <v>672</v>
      </c>
      <c r="I61" s="45" t="s">
        <v>673</v>
      </c>
      <c r="J61" s="45" t="s">
        <v>674</v>
      </c>
      <c r="K61" s="45" t="s">
        <v>675</v>
      </c>
      <c r="L61" s="45" t="s">
        <v>676</v>
      </c>
    </row>
    <row r="62" spans="1:12" ht="99" x14ac:dyDescent="0.25">
      <c r="A62" s="45" t="s">
        <v>25</v>
      </c>
      <c r="B62" s="45" t="s">
        <v>2</v>
      </c>
      <c r="C62" s="46" t="s">
        <v>109</v>
      </c>
      <c r="D62" s="45" t="s">
        <v>665</v>
      </c>
      <c r="E62" s="45" t="s">
        <v>652</v>
      </c>
      <c r="F62" s="45">
        <v>9</v>
      </c>
      <c r="G62" s="45" t="s">
        <v>653</v>
      </c>
      <c r="H62" s="45" t="s">
        <v>666</v>
      </c>
      <c r="I62" s="45" t="s">
        <v>667</v>
      </c>
      <c r="J62" s="45" t="s">
        <v>668</v>
      </c>
      <c r="K62" s="45" t="s">
        <v>669</v>
      </c>
      <c r="L62" s="45" t="s">
        <v>670</v>
      </c>
    </row>
    <row r="63" spans="1:12" ht="115.5" x14ac:dyDescent="0.25">
      <c r="A63" s="47" t="s">
        <v>529</v>
      </c>
      <c r="B63" s="47" t="s">
        <v>28</v>
      </c>
      <c r="C63" s="48" t="s">
        <v>64</v>
      </c>
      <c r="D63" s="47" t="s">
        <v>66</v>
      </c>
      <c r="E63" s="47" t="s">
        <v>463</v>
      </c>
      <c r="F63" s="47">
        <v>15</v>
      </c>
      <c r="G63" s="47" t="s">
        <v>419</v>
      </c>
      <c r="H63" s="47" t="s">
        <v>464</v>
      </c>
      <c r="I63" s="47" t="s">
        <v>465</v>
      </c>
      <c r="J63" s="47" t="s">
        <v>466</v>
      </c>
      <c r="K63" s="47" t="s">
        <v>467</v>
      </c>
      <c r="L63" s="47" t="s">
        <v>468</v>
      </c>
    </row>
    <row r="64" spans="1:12" ht="99" x14ac:dyDescent="0.25">
      <c r="A64" s="47" t="s">
        <v>529</v>
      </c>
      <c r="B64" s="47" t="s">
        <v>28</v>
      </c>
      <c r="C64" s="48" t="s">
        <v>59</v>
      </c>
      <c r="D64" s="47" t="s">
        <v>437</v>
      </c>
      <c r="E64" s="47" t="s">
        <v>438</v>
      </c>
      <c r="F64" s="47">
        <v>15</v>
      </c>
      <c r="G64" s="47" t="s">
        <v>419</v>
      </c>
      <c r="H64" s="47" t="s">
        <v>439</v>
      </c>
      <c r="I64" s="47" t="s">
        <v>440</v>
      </c>
      <c r="J64" s="47" t="s">
        <v>441</v>
      </c>
      <c r="K64" s="47" t="s">
        <v>442</v>
      </c>
      <c r="L64" s="47" t="s">
        <v>443</v>
      </c>
    </row>
    <row r="65" spans="1:12" ht="115.5" x14ac:dyDescent="0.25">
      <c r="A65" s="47" t="s">
        <v>529</v>
      </c>
      <c r="B65" s="47" t="s">
        <v>28</v>
      </c>
      <c r="C65" s="48" t="s">
        <v>61</v>
      </c>
      <c r="D65" s="47" t="s">
        <v>168</v>
      </c>
      <c r="E65" s="47" t="s">
        <v>451</v>
      </c>
      <c r="F65" s="47">
        <v>15</v>
      </c>
      <c r="G65" s="47" t="s">
        <v>419</v>
      </c>
      <c r="H65" s="47" t="s">
        <v>452</v>
      </c>
      <c r="I65" s="47" t="s">
        <v>453</v>
      </c>
      <c r="J65" s="47" t="s">
        <v>454</v>
      </c>
      <c r="K65" s="47" t="s">
        <v>455</v>
      </c>
      <c r="L65" s="47" t="s">
        <v>456</v>
      </c>
    </row>
    <row r="66" spans="1:12" ht="115.5" x14ac:dyDescent="0.25">
      <c r="A66" s="47" t="s">
        <v>529</v>
      </c>
      <c r="B66" s="47" t="s">
        <v>28</v>
      </c>
      <c r="C66" s="48" t="s">
        <v>114</v>
      </c>
      <c r="D66" s="47" t="s">
        <v>444</v>
      </c>
      <c r="E66" s="47" t="s">
        <v>445</v>
      </c>
      <c r="F66" s="47">
        <v>15</v>
      </c>
      <c r="G66" s="47" t="s">
        <v>419</v>
      </c>
      <c r="H66" s="47" t="s">
        <v>446</v>
      </c>
      <c r="I66" s="47" t="s">
        <v>447</v>
      </c>
      <c r="J66" s="47" t="s">
        <v>448</v>
      </c>
      <c r="K66" s="47" t="s">
        <v>449</v>
      </c>
      <c r="L66" s="47" t="s">
        <v>450</v>
      </c>
    </row>
    <row r="67" spans="1:12" ht="132" x14ac:dyDescent="0.25">
      <c r="A67" s="47" t="s">
        <v>529</v>
      </c>
      <c r="B67" s="47" t="s">
        <v>28</v>
      </c>
      <c r="C67" s="48" t="s">
        <v>65</v>
      </c>
      <c r="D67" s="47" t="s">
        <v>469</v>
      </c>
      <c r="E67" s="47" t="s">
        <v>470</v>
      </c>
      <c r="F67" s="47">
        <v>15</v>
      </c>
      <c r="G67" s="47" t="s">
        <v>419</v>
      </c>
      <c r="H67" s="47" t="s">
        <v>471</v>
      </c>
      <c r="I67" s="47" t="s">
        <v>472</v>
      </c>
      <c r="J67" s="47" t="s">
        <v>473</v>
      </c>
      <c r="K67" s="47" t="s">
        <v>474</v>
      </c>
      <c r="L67" s="47" t="s">
        <v>475</v>
      </c>
    </row>
    <row r="68" spans="1:12" ht="115.5" x14ac:dyDescent="0.25">
      <c r="A68" s="47" t="s">
        <v>529</v>
      </c>
      <c r="B68" s="47" t="s">
        <v>28</v>
      </c>
      <c r="C68" s="48" t="s">
        <v>62</v>
      </c>
      <c r="D68" s="47" t="s">
        <v>171</v>
      </c>
      <c r="E68" s="47" t="s">
        <v>457</v>
      </c>
      <c r="F68" s="47">
        <v>15</v>
      </c>
      <c r="G68" s="47" t="s">
        <v>419</v>
      </c>
      <c r="H68" s="47" t="s">
        <v>458</v>
      </c>
      <c r="I68" s="47" t="s">
        <v>459</v>
      </c>
      <c r="J68" s="47" t="s">
        <v>460</v>
      </c>
      <c r="K68" s="47" t="s">
        <v>461</v>
      </c>
      <c r="L68" s="47" t="s">
        <v>462</v>
      </c>
    </row>
    <row r="69" spans="1:12" ht="148.5" x14ac:dyDescent="0.25">
      <c r="A69" s="47" t="s">
        <v>529</v>
      </c>
      <c r="B69" s="47" t="s">
        <v>28</v>
      </c>
      <c r="C69" s="48" t="s">
        <v>58</v>
      </c>
      <c r="D69" s="47" t="s">
        <v>159</v>
      </c>
      <c r="E69" s="47" t="s">
        <v>431</v>
      </c>
      <c r="F69" s="47">
        <v>15</v>
      </c>
      <c r="G69" s="47" t="s">
        <v>419</v>
      </c>
      <c r="H69" s="47" t="s">
        <v>432</v>
      </c>
      <c r="I69" s="47" t="s">
        <v>433</v>
      </c>
      <c r="J69" s="47" t="s">
        <v>434</v>
      </c>
      <c r="K69" s="47" t="s">
        <v>435</v>
      </c>
      <c r="L69" s="47" t="s">
        <v>436</v>
      </c>
    </row>
    <row r="70" spans="1:12" ht="115.5" x14ac:dyDescent="0.25">
      <c r="A70" s="47" t="s">
        <v>529</v>
      </c>
      <c r="B70" s="47" t="s">
        <v>28</v>
      </c>
      <c r="C70" s="48" t="s">
        <v>109</v>
      </c>
      <c r="D70" s="47" t="s">
        <v>112</v>
      </c>
      <c r="E70" s="47" t="s">
        <v>425</v>
      </c>
      <c r="F70" s="47">
        <v>15</v>
      </c>
      <c r="G70" s="47" t="s">
        <v>419</v>
      </c>
      <c r="H70" s="47" t="s">
        <v>426</v>
      </c>
      <c r="I70" s="47" t="s">
        <v>427</v>
      </c>
      <c r="J70" s="47" t="s">
        <v>428</v>
      </c>
      <c r="K70" s="47" t="s">
        <v>429</v>
      </c>
      <c r="L70" s="47" t="s">
        <v>430</v>
      </c>
    </row>
    <row r="71" spans="1:12" ht="115.5" x14ac:dyDescent="0.25">
      <c r="A71" s="32" t="s">
        <v>21</v>
      </c>
      <c r="B71" s="32" t="s">
        <v>28</v>
      </c>
      <c r="C71" s="33" t="s">
        <v>55</v>
      </c>
      <c r="D71" s="32" t="s">
        <v>215</v>
      </c>
      <c r="E71" s="32" t="s">
        <v>418</v>
      </c>
      <c r="F71" s="32">
        <v>15</v>
      </c>
      <c r="G71" s="32" t="s">
        <v>419</v>
      </c>
      <c r="H71" s="32" t="s">
        <v>420</v>
      </c>
      <c r="I71" s="32" t="s">
        <v>421</v>
      </c>
      <c r="J71" s="32" t="s">
        <v>422</v>
      </c>
      <c r="K71" s="32" t="s">
        <v>423</v>
      </c>
      <c r="L71" s="32" t="s">
        <v>424</v>
      </c>
    </row>
    <row r="72" spans="1:12" ht="115.5" x14ac:dyDescent="0.25">
      <c r="A72" s="49" t="s">
        <v>23</v>
      </c>
      <c r="B72" s="49" t="s">
        <v>0</v>
      </c>
      <c r="C72" s="50">
        <v>45701</v>
      </c>
      <c r="D72" s="49" t="s">
        <v>501</v>
      </c>
      <c r="E72" s="49" t="s">
        <v>502</v>
      </c>
      <c r="F72" s="49">
        <v>6</v>
      </c>
      <c r="G72" s="49" t="s">
        <v>503</v>
      </c>
      <c r="H72" s="49" t="s">
        <v>504</v>
      </c>
      <c r="I72" s="49" t="s">
        <v>505</v>
      </c>
      <c r="J72" s="49" t="s">
        <v>506</v>
      </c>
      <c r="K72" s="49" t="s">
        <v>507</v>
      </c>
      <c r="L72" s="49" t="s">
        <v>508</v>
      </c>
    </row>
    <row r="73" spans="1:12" ht="99" x14ac:dyDescent="0.25">
      <c r="A73" s="49" t="s">
        <v>23</v>
      </c>
      <c r="B73" s="49" t="s">
        <v>0</v>
      </c>
      <c r="C73" s="50">
        <v>45729</v>
      </c>
      <c r="D73" s="49" t="s">
        <v>70</v>
      </c>
      <c r="E73" s="49" t="s">
        <v>509</v>
      </c>
      <c r="F73" s="49">
        <v>6</v>
      </c>
      <c r="G73" s="49" t="s">
        <v>0</v>
      </c>
      <c r="H73" s="49" t="s">
        <v>510</v>
      </c>
      <c r="I73" s="49" t="s">
        <v>511</v>
      </c>
      <c r="J73" s="49" t="s">
        <v>512</v>
      </c>
      <c r="K73" s="49" t="s">
        <v>513</v>
      </c>
      <c r="L73" s="49" t="s">
        <v>514</v>
      </c>
    </row>
    <row r="74" spans="1:12" ht="99" x14ac:dyDescent="0.25">
      <c r="A74" s="49" t="s">
        <v>23</v>
      </c>
      <c r="B74" s="49" t="s">
        <v>0</v>
      </c>
      <c r="C74" s="50">
        <v>45761</v>
      </c>
      <c r="D74" s="49" t="s">
        <v>198</v>
      </c>
      <c r="E74" s="49" t="s">
        <v>515</v>
      </c>
      <c r="F74" s="49">
        <v>6</v>
      </c>
      <c r="G74" s="49" t="s">
        <v>0</v>
      </c>
      <c r="H74" s="49" t="s">
        <v>516</v>
      </c>
      <c r="I74" s="49" t="s">
        <v>517</v>
      </c>
      <c r="J74" s="49" t="s">
        <v>518</v>
      </c>
      <c r="K74" s="49" t="s">
        <v>519</v>
      </c>
      <c r="L74" s="49" t="s">
        <v>520</v>
      </c>
    </row>
    <row r="75" spans="1:12" ht="99" x14ac:dyDescent="0.25">
      <c r="A75" s="49" t="s">
        <v>23</v>
      </c>
      <c r="B75" s="49" t="s">
        <v>0</v>
      </c>
      <c r="C75" s="50">
        <v>45789</v>
      </c>
      <c r="D75" s="49" t="s">
        <v>521</v>
      </c>
      <c r="E75" s="49" t="s">
        <v>522</v>
      </c>
      <c r="F75" s="49">
        <v>6</v>
      </c>
      <c r="G75" s="49" t="s">
        <v>523</v>
      </c>
      <c r="H75" s="49" t="s">
        <v>524</v>
      </c>
      <c r="I75" s="49" t="s">
        <v>525</v>
      </c>
      <c r="J75" s="49" t="s">
        <v>526</v>
      </c>
      <c r="K75" s="49" t="s">
        <v>527</v>
      </c>
      <c r="L75" s="49" t="s">
        <v>528</v>
      </c>
    </row>
    <row r="76" spans="1:12" ht="148.5" x14ac:dyDescent="0.25">
      <c r="A76" s="49" t="s">
        <v>23</v>
      </c>
      <c r="B76" s="49" t="s">
        <v>0</v>
      </c>
      <c r="C76" s="50">
        <v>45929</v>
      </c>
      <c r="D76" s="49" t="s">
        <v>181</v>
      </c>
      <c r="E76" s="49" t="s">
        <v>216</v>
      </c>
      <c r="F76" s="49">
        <v>6</v>
      </c>
      <c r="G76" s="49" t="s">
        <v>476</v>
      </c>
      <c r="H76" s="49" t="s">
        <v>477</v>
      </c>
      <c r="I76" s="49" t="s">
        <v>478</v>
      </c>
      <c r="J76" s="49" t="s">
        <v>479</v>
      </c>
      <c r="K76" s="49" t="s">
        <v>217</v>
      </c>
      <c r="L76" s="49" t="s">
        <v>480</v>
      </c>
    </row>
    <row r="77" spans="1:12" ht="132" x14ac:dyDescent="0.25">
      <c r="A77" s="49" t="s">
        <v>23</v>
      </c>
      <c r="B77" s="49" t="s">
        <v>0</v>
      </c>
      <c r="C77" s="50">
        <v>45940</v>
      </c>
      <c r="D77" s="49" t="s">
        <v>481</v>
      </c>
      <c r="E77" s="49" t="s">
        <v>482</v>
      </c>
      <c r="F77" s="49">
        <v>6</v>
      </c>
      <c r="G77" s="49" t="s">
        <v>0</v>
      </c>
      <c r="H77" s="49" t="s">
        <v>483</v>
      </c>
      <c r="I77" s="49" t="s">
        <v>484</v>
      </c>
      <c r="J77" s="49" t="s">
        <v>485</v>
      </c>
      <c r="K77" s="49" t="s">
        <v>486</v>
      </c>
      <c r="L77" s="49" t="s">
        <v>487</v>
      </c>
    </row>
    <row r="78" spans="1:12" ht="115.5" x14ac:dyDescent="0.25">
      <c r="A78" s="49" t="s">
        <v>23</v>
      </c>
      <c r="B78" s="49" t="s">
        <v>0</v>
      </c>
      <c r="C78" s="50">
        <v>45975</v>
      </c>
      <c r="D78" s="49" t="s">
        <v>187</v>
      </c>
      <c r="E78" s="49" t="s">
        <v>488</v>
      </c>
      <c r="F78" s="49">
        <v>6</v>
      </c>
      <c r="G78" s="49" t="s">
        <v>489</v>
      </c>
      <c r="H78" s="49" t="s">
        <v>490</v>
      </c>
      <c r="I78" s="49" t="s">
        <v>491</v>
      </c>
      <c r="J78" s="49" t="s">
        <v>492</v>
      </c>
      <c r="K78" s="49" t="s">
        <v>493</v>
      </c>
      <c r="L78" s="49" t="s">
        <v>494</v>
      </c>
    </row>
    <row r="79" spans="1:12" ht="115.5" x14ac:dyDescent="0.25">
      <c r="A79" s="49" t="s">
        <v>23</v>
      </c>
      <c r="B79" s="49" t="s">
        <v>0</v>
      </c>
      <c r="C79" s="50">
        <v>45996</v>
      </c>
      <c r="D79" s="49" t="s">
        <v>66</v>
      </c>
      <c r="E79" s="49" t="s">
        <v>495</v>
      </c>
      <c r="F79" s="49">
        <v>6</v>
      </c>
      <c r="G79" s="49" t="s">
        <v>0</v>
      </c>
      <c r="H79" s="49" t="s">
        <v>496</v>
      </c>
      <c r="I79" s="49" t="s">
        <v>497</v>
      </c>
      <c r="J79" s="49" t="s">
        <v>498</v>
      </c>
      <c r="K79" s="49" t="s">
        <v>499</v>
      </c>
      <c r="L79" s="49" t="s">
        <v>500</v>
      </c>
    </row>
    <row r="80" spans="1:12" ht="132" x14ac:dyDescent="0.25">
      <c r="A80" s="49" t="s">
        <v>23</v>
      </c>
      <c r="B80" s="49" t="s">
        <v>0</v>
      </c>
      <c r="C80" s="50">
        <v>46094</v>
      </c>
      <c r="D80" s="49" t="s">
        <v>70</v>
      </c>
      <c r="E80" s="49" t="s">
        <v>509</v>
      </c>
      <c r="F80" s="49">
        <v>6</v>
      </c>
      <c r="G80" s="49" t="s">
        <v>0</v>
      </c>
      <c r="H80" s="49" t="s">
        <v>510</v>
      </c>
      <c r="I80" s="49" t="s">
        <v>511</v>
      </c>
      <c r="J80" s="49" t="s">
        <v>736</v>
      </c>
      <c r="K80" s="49" t="s">
        <v>513</v>
      </c>
      <c r="L80" s="49" t="s">
        <v>514</v>
      </c>
    </row>
    <row r="81" spans="1:12" ht="115.5" x14ac:dyDescent="0.25">
      <c r="A81" s="49" t="s">
        <v>23</v>
      </c>
      <c r="B81" s="49" t="s">
        <v>0</v>
      </c>
      <c r="C81" s="50">
        <v>46126</v>
      </c>
      <c r="D81" s="49" t="s">
        <v>198</v>
      </c>
      <c r="E81" s="49" t="s">
        <v>515</v>
      </c>
      <c r="F81" s="49">
        <v>6</v>
      </c>
      <c r="G81" s="49" t="s">
        <v>0</v>
      </c>
      <c r="H81" s="49" t="s">
        <v>516</v>
      </c>
      <c r="I81" s="49" t="s">
        <v>517</v>
      </c>
      <c r="J81" s="49" t="s">
        <v>737</v>
      </c>
      <c r="K81" s="49" t="s">
        <v>519</v>
      </c>
      <c r="L81" s="49" t="s">
        <v>520</v>
      </c>
    </row>
    <row r="82" spans="1:12" ht="148.5" x14ac:dyDescent="0.25">
      <c r="A82" s="49" t="s">
        <v>23</v>
      </c>
      <c r="B82" s="49" t="s">
        <v>0</v>
      </c>
      <c r="C82" s="50">
        <v>46154</v>
      </c>
      <c r="D82" s="49" t="s">
        <v>521</v>
      </c>
      <c r="E82" s="49" t="s">
        <v>522</v>
      </c>
      <c r="F82" s="49">
        <v>6</v>
      </c>
      <c r="G82" s="49" t="s">
        <v>523</v>
      </c>
      <c r="H82" s="49" t="s">
        <v>524</v>
      </c>
      <c r="I82" s="49" t="s">
        <v>525</v>
      </c>
      <c r="J82" s="49" t="s">
        <v>738</v>
      </c>
      <c r="K82" s="49" t="s">
        <v>527</v>
      </c>
      <c r="L82" s="49" t="s">
        <v>528</v>
      </c>
    </row>
    <row r="83" spans="1:12" ht="115.5" x14ac:dyDescent="0.25">
      <c r="A83" s="51" t="s">
        <v>24</v>
      </c>
      <c r="B83" s="51" t="s">
        <v>1</v>
      </c>
      <c r="C83" s="52" t="s">
        <v>64</v>
      </c>
      <c r="D83" s="51" t="s">
        <v>575</v>
      </c>
      <c r="E83" s="51" t="s">
        <v>576</v>
      </c>
      <c r="F83" s="51">
        <v>9</v>
      </c>
      <c r="G83" s="51" t="s">
        <v>562</v>
      </c>
      <c r="H83" s="51" t="s">
        <v>577</v>
      </c>
      <c r="I83" s="51" t="s">
        <v>578</v>
      </c>
      <c r="J83" s="51" t="s">
        <v>579</v>
      </c>
      <c r="K83" s="51" t="s">
        <v>580</v>
      </c>
      <c r="L83" s="51" t="s">
        <v>581</v>
      </c>
    </row>
    <row r="84" spans="1:12" ht="132" x14ac:dyDescent="0.25">
      <c r="A84" s="51" t="s">
        <v>24</v>
      </c>
      <c r="B84" s="51" t="s">
        <v>1</v>
      </c>
      <c r="C84" s="52" t="s">
        <v>59</v>
      </c>
      <c r="D84" s="51" t="s">
        <v>552</v>
      </c>
      <c r="E84" s="51" t="s">
        <v>553</v>
      </c>
      <c r="F84" s="51">
        <v>9</v>
      </c>
      <c r="G84" s="51" t="s">
        <v>554</v>
      </c>
      <c r="H84" s="51" t="s">
        <v>555</v>
      </c>
      <c r="I84" s="51" t="s">
        <v>556</v>
      </c>
      <c r="J84" s="51" t="s">
        <v>557</v>
      </c>
      <c r="K84" s="51" t="s">
        <v>558</v>
      </c>
      <c r="L84" s="51" t="s">
        <v>559</v>
      </c>
    </row>
    <row r="85" spans="1:12" ht="132" x14ac:dyDescent="0.25">
      <c r="A85" s="51" t="s">
        <v>24</v>
      </c>
      <c r="B85" s="51" t="s">
        <v>1</v>
      </c>
      <c r="C85" s="52" t="s">
        <v>61</v>
      </c>
      <c r="D85" s="51" t="s">
        <v>560</v>
      </c>
      <c r="E85" s="51" t="s">
        <v>561</v>
      </c>
      <c r="F85" s="51">
        <v>9</v>
      </c>
      <c r="G85" s="51" t="s">
        <v>562</v>
      </c>
      <c r="H85" s="51" t="s">
        <v>563</v>
      </c>
      <c r="I85" s="51" t="s">
        <v>564</v>
      </c>
      <c r="J85" s="51" t="s">
        <v>565</v>
      </c>
      <c r="K85" s="51" t="s">
        <v>566</v>
      </c>
      <c r="L85" s="51" t="s">
        <v>567</v>
      </c>
    </row>
    <row r="86" spans="1:12" ht="132" x14ac:dyDescent="0.25">
      <c r="A86" s="51" t="s">
        <v>24</v>
      </c>
      <c r="B86" s="51" t="s">
        <v>1</v>
      </c>
      <c r="C86" s="52" t="s">
        <v>590</v>
      </c>
      <c r="D86" s="51" t="s">
        <v>591</v>
      </c>
      <c r="E86" s="51" t="s">
        <v>553</v>
      </c>
      <c r="F86" s="51">
        <v>9</v>
      </c>
      <c r="G86" s="51" t="s">
        <v>1</v>
      </c>
      <c r="H86" s="51" t="s">
        <v>592</v>
      </c>
      <c r="I86" s="51" t="s">
        <v>593</v>
      </c>
      <c r="J86" s="51" t="s">
        <v>594</v>
      </c>
      <c r="K86" s="51" t="s">
        <v>595</v>
      </c>
      <c r="L86" s="51" t="s">
        <v>596</v>
      </c>
    </row>
    <row r="87" spans="1:12" ht="148.5" x14ac:dyDescent="0.25">
      <c r="A87" s="51" t="s">
        <v>24</v>
      </c>
      <c r="B87" s="51" t="s">
        <v>1</v>
      </c>
      <c r="C87" s="52" t="s">
        <v>65</v>
      </c>
      <c r="D87" s="51" t="s">
        <v>582</v>
      </c>
      <c r="E87" s="51" t="s">
        <v>583</v>
      </c>
      <c r="F87" s="51">
        <v>9</v>
      </c>
      <c r="G87" s="51" t="s">
        <v>584</v>
      </c>
      <c r="H87" s="51" t="s">
        <v>585</v>
      </c>
      <c r="I87" s="51" t="s">
        <v>586</v>
      </c>
      <c r="J87" s="51" t="s">
        <v>587</v>
      </c>
      <c r="K87" s="51" t="s">
        <v>588</v>
      </c>
      <c r="L87" s="51" t="s">
        <v>589</v>
      </c>
    </row>
    <row r="88" spans="1:12" ht="115.5" x14ac:dyDescent="0.25">
      <c r="A88" s="51" t="s">
        <v>24</v>
      </c>
      <c r="B88" s="51" t="s">
        <v>1</v>
      </c>
      <c r="C88" s="52" t="s">
        <v>62</v>
      </c>
      <c r="D88" s="51" t="s">
        <v>290</v>
      </c>
      <c r="E88" s="51" t="s">
        <v>568</v>
      </c>
      <c r="F88" s="51">
        <v>9</v>
      </c>
      <c r="G88" s="51" t="s">
        <v>569</v>
      </c>
      <c r="H88" s="51" t="s">
        <v>570</v>
      </c>
      <c r="I88" s="51" t="s">
        <v>571</v>
      </c>
      <c r="J88" s="51" t="s">
        <v>572</v>
      </c>
      <c r="K88" s="51" t="s">
        <v>573</v>
      </c>
      <c r="L88" s="51" t="s">
        <v>574</v>
      </c>
    </row>
    <row r="89" spans="1:12" ht="132" x14ac:dyDescent="0.25">
      <c r="A89" s="51" t="s">
        <v>24</v>
      </c>
      <c r="B89" s="51" t="s">
        <v>1</v>
      </c>
      <c r="C89" s="52" t="s">
        <v>58</v>
      </c>
      <c r="D89" s="51" t="s">
        <v>545</v>
      </c>
      <c r="E89" s="51" t="s">
        <v>546</v>
      </c>
      <c r="F89" s="51">
        <v>9</v>
      </c>
      <c r="G89" s="51" t="s">
        <v>547</v>
      </c>
      <c r="H89" s="51" t="s">
        <v>548</v>
      </c>
      <c r="I89" s="51" t="s">
        <v>549</v>
      </c>
      <c r="J89" s="51" t="s">
        <v>550</v>
      </c>
      <c r="K89" s="51" t="s">
        <v>551</v>
      </c>
      <c r="L89" s="51"/>
    </row>
    <row r="90" spans="1:12" ht="115.5" x14ac:dyDescent="0.25">
      <c r="A90" s="51" t="s">
        <v>24</v>
      </c>
      <c r="B90" s="51" t="s">
        <v>1</v>
      </c>
      <c r="C90" s="52" t="s">
        <v>530</v>
      </c>
      <c r="D90" s="51" t="s">
        <v>181</v>
      </c>
      <c r="E90" s="51" t="s">
        <v>531</v>
      </c>
      <c r="F90" s="51">
        <v>9</v>
      </c>
      <c r="G90" s="51" t="s">
        <v>532</v>
      </c>
      <c r="H90" s="51" t="s">
        <v>533</v>
      </c>
      <c r="I90" s="51" t="s">
        <v>534</v>
      </c>
      <c r="J90" s="51" t="s">
        <v>535</v>
      </c>
      <c r="K90" s="51" t="s">
        <v>536</v>
      </c>
      <c r="L90" s="51" t="s">
        <v>537</v>
      </c>
    </row>
    <row r="91" spans="1:12" ht="132" x14ac:dyDescent="0.25">
      <c r="A91" s="51" t="s">
        <v>24</v>
      </c>
      <c r="B91" s="51" t="s">
        <v>1</v>
      </c>
      <c r="C91" s="52" t="s">
        <v>55</v>
      </c>
      <c r="D91" s="51" t="s">
        <v>538</v>
      </c>
      <c r="E91" s="51" t="s">
        <v>539</v>
      </c>
      <c r="F91" s="51" t="s">
        <v>133</v>
      </c>
      <c r="G91" s="51" t="s">
        <v>212</v>
      </c>
      <c r="H91" s="51" t="s">
        <v>540</v>
      </c>
      <c r="I91" s="51" t="s">
        <v>541</v>
      </c>
      <c r="J91" s="51" t="s">
        <v>542</v>
      </c>
      <c r="K91" s="51" t="s">
        <v>543</v>
      </c>
      <c r="L91" s="51" t="s">
        <v>544</v>
      </c>
    </row>
  </sheetData>
  <sortState xmlns:xlrd2="http://schemas.microsoft.com/office/spreadsheetml/2017/richdata2" ref="A5:L91">
    <sortCondition ref="A5:A91"/>
    <sortCondition ref="C5:C91"/>
  </sortState>
  <pageMargins left="0.70866141732283472" right="0.70866141732283472" top="0.74803149606299213" bottom="0.74803149606299213" header="0.31496062992125984" footer="0.31496062992125984"/>
  <pageSetup paperSize="9" scale="40" fitToHeight="10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684B5-5395-42E5-A1DD-E483C206F0E5}">
  <sheetPr codeName="List1" filterMode="1">
    <pageSetUpPr fitToPage="1"/>
  </sheetPr>
  <dimension ref="A1:K197"/>
  <sheetViews>
    <sheetView zoomScale="55" zoomScaleNormal="55" workbookViewId="0">
      <selection activeCell="A51" sqref="A51"/>
    </sheetView>
  </sheetViews>
  <sheetFormatPr defaultRowHeight="69.95" customHeight="1" x14ac:dyDescent="0.25"/>
  <cols>
    <col min="1" max="1" width="20" style="5" customWidth="1"/>
    <col min="2" max="2" width="27.140625" style="5" bestFit="1" customWidth="1"/>
    <col min="3" max="3" width="18.7109375" style="6" customWidth="1"/>
    <col min="4" max="4" width="16.28515625" style="24" bestFit="1" customWidth="1"/>
    <col min="5" max="5" width="21.42578125" style="24" bestFit="1" customWidth="1"/>
    <col min="6" max="6" width="14.140625" style="5" bestFit="1" customWidth="1"/>
    <col min="7" max="7" width="36.42578125" style="24" bestFit="1" customWidth="1"/>
    <col min="8" max="8" width="10" style="7" hidden="1" customWidth="1"/>
    <col min="9" max="9" width="12.42578125" style="5" bestFit="1" customWidth="1"/>
    <col min="10" max="10" width="18.7109375" style="6" hidden="1" customWidth="1"/>
    <col min="11" max="11" width="35.7109375" style="27" bestFit="1" customWidth="1"/>
    <col min="12" max="16384" width="9.140625" style="8"/>
  </cols>
  <sheetData>
    <row r="1" spans="1:11" ht="39" customHeight="1" x14ac:dyDescent="0.25">
      <c r="A1" s="14"/>
      <c r="B1" s="14"/>
      <c r="C1" s="15"/>
      <c r="D1" s="21"/>
      <c r="E1" s="21"/>
      <c r="F1" s="14"/>
      <c r="G1" s="21"/>
      <c r="H1" s="16"/>
      <c r="I1" s="14"/>
      <c r="J1" s="15"/>
      <c r="K1" s="25"/>
    </row>
    <row r="2" spans="1:11" ht="26.1" customHeight="1" x14ac:dyDescent="0.25">
      <c r="A2" s="17" t="s">
        <v>19</v>
      </c>
      <c r="B2" s="17"/>
      <c r="C2" s="15"/>
      <c r="D2" s="21"/>
      <c r="E2" s="21"/>
      <c r="F2" s="14"/>
      <c r="G2" s="21"/>
      <c r="H2" s="16"/>
      <c r="I2" s="14"/>
      <c r="J2" s="15"/>
      <c r="K2" s="26"/>
    </row>
    <row r="3" spans="1:11" ht="26.1" customHeight="1" x14ac:dyDescent="0.25">
      <c r="A3" s="14"/>
      <c r="B3" s="14"/>
      <c r="C3" s="15"/>
      <c r="D3" s="21"/>
      <c r="E3" s="21"/>
      <c r="F3" s="14"/>
      <c r="G3" s="21"/>
      <c r="H3" s="16"/>
      <c r="I3" s="14"/>
      <c r="J3" s="15"/>
      <c r="K3" s="26"/>
    </row>
    <row r="4" spans="1:11" s="5" customFormat="1" ht="30" x14ac:dyDescent="0.25">
      <c r="A4" s="18" t="s">
        <v>6</v>
      </c>
      <c r="B4" s="18" t="s">
        <v>43</v>
      </c>
      <c r="C4" s="19" t="s">
        <v>7</v>
      </c>
      <c r="D4" s="22" t="s">
        <v>8</v>
      </c>
      <c r="E4" s="22" t="s">
        <v>99</v>
      </c>
      <c r="F4" s="18" t="s">
        <v>9</v>
      </c>
      <c r="G4" s="22" t="s">
        <v>52</v>
      </c>
      <c r="H4" s="18" t="s">
        <v>10</v>
      </c>
      <c r="I4" s="18" t="s">
        <v>11</v>
      </c>
      <c r="J4" s="19" t="s">
        <v>12</v>
      </c>
      <c r="K4" s="22" t="s">
        <v>13</v>
      </c>
    </row>
    <row r="5" spans="1:11" ht="69.95" hidden="1" customHeight="1" x14ac:dyDescent="0.25">
      <c r="A5" s="9" t="s">
        <v>14</v>
      </c>
      <c r="B5" s="20" t="str">
        <f>IF(ISNA(VLOOKUP(A5,Settings!$A$2:$B$11,2,FALSE)),"",VLOOKUP(A5,Settings!$A$2:$B$11,2,FALSE))</f>
        <v>Selma Mujanović</v>
      </c>
      <c r="C5" s="10">
        <v>45925</v>
      </c>
      <c r="D5" s="23" t="s">
        <v>67</v>
      </c>
      <c r="E5" s="23" t="s">
        <v>91</v>
      </c>
      <c r="F5" s="11">
        <v>11</v>
      </c>
      <c r="G5" s="28" t="s">
        <v>78</v>
      </c>
      <c r="H5" s="12"/>
      <c r="I5" s="9" t="s">
        <v>17</v>
      </c>
      <c r="J5" s="10"/>
      <c r="K5" s="13" t="s">
        <v>88</v>
      </c>
    </row>
    <row r="6" spans="1:11" ht="69.95" hidden="1" customHeight="1" x14ac:dyDescent="0.25">
      <c r="A6" s="9" t="s">
        <v>14</v>
      </c>
      <c r="B6" s="20" t="str">
        <f>IF(ISNA(VLOOKUP(A6,Settings!$A$2:$B$11,2,FALSE)),"",VLOOKUP(A6,Settings!$A$2:$B$11,2,FALSE))</f>
        <v>Selma Mujanović</v>
      </c>
      <c r="C6" s="10">
        <v>45932</v>
      </c>
      <c r="D6" s="23" t="s">
        <v>68</v>
      </c>
      <c r="E6" s="23" t="s">
        <v>95</v>
      </c>
      <c r="F6" s="11">
        <v>89</v>
      </c>
      <c r="G6" s="28" t="s">
        <v>54</v>
      </c>
      <c r="H6" s="12"/>
      <c r="I6" s="9" t="s">
        <v>17</v>
      </c>
      <c r="J6" s="10"/>
      <c r="K6" s="13" t="s">
        <v>69</v>
      </c>
    </row>
    <row r="7" spans="1:11" ht="69.95" hidden="1" customHeight="1" x14ac:dyDescent="0.25">
      <c r="A7" s="9" t="s">
        <v>14</v>
      </c>
      <c r="B7" s="20" t="str">
        <f>IF(ISNA(VLOOKUP(A7,Settings!$A$2:$B$11,2,FALSE)),"",VLOOKUP(A7,Settings!$A$2:$B$11,2,FALSE))</f>
        <v>Selma Mujanović</v>
      </c>
      <c r="C7" s="10">
        <v>45973</v>
      </c>
      <c r="D7" s="23" t="s">
        <v>70</v>
      </c>
      <c r="E7" s="23" t="s">
        <v>92</v>
      </c>
      <c r="F7" s="11">
        <v>11</v>
      </c>
      <c r="G7" s="28" t="s">
        <v>74</v>
      </c>
      <c r="H7" s="12"/>
      <c r="I7" s="9" t="s">
        <v>17</v>
      </c>
      <c r="J7" s="10"/>
      <c r="K7" s="13" t="s">
        <v>81</v>
      </c>
    </row>
    <row r="8" spans="1:11" ht="69.95" hidden="1" customHeight="1" x14ac:dyDescent="0.25">
      <c r="A8" s="9" t="s">
        <v>14</v>
      </c>
      <c r="B8" s="20" t="str">
        <f>IF(ISNA(VLOOKUP(A8,Settings!$A$2:$B$11,2,FALSE)),"",VLOOKUP(A8,Settings!$A$2:$B$11,2,FALSE))</f>
        <v>Selma Mujanović</v>
      </c>
      <c r="C8" s="10">
        <v>46009</v>
      </c>
      <c r="D8" s="23" t="s">
        <v>60</v>
      </c>
      <c r="E8" s="23" t="s">
        <v>92</v>
      </c>
      <c r="F8" s="11">
        <v>11</v>
      </c>
      <c r="G8" s="28" t="s">
        <v>75</v>
      </c>
      <c r="H8" s="12"/>
      <c r="I8" s="9" t="s">
        <v>17</v>
      </c>
      <c r="J8" s="10"/>
      <c r="K8" s="13" t="s">
        <v>81</v>
      </c>
    </row>
    <row r="9" spans="1:11" ht="69.95" hidden="1" customHeight="1" x14ac:dyDescent="0.25">
      <c r="A9" s="9" t="s">
        <v>14</v>
      </c>
      <c r="B9" s="20" t="str">
        <f>IF(ISNA(VLOOKUP(A9,Settings!$A$2:$B$11,2,FALSE)),"",VLOOKUP(A9,Settings!$A$2:$B$11,2,FALSE))</f>
        <v>Selma Mujanović</v>
      </c>
      <c r="C9" s="10">
        <v>46064</v>
      </c>
      <c r="D9" s="23" t="s">
        <v>71</v>
      </c>
      <c r="E9" s="23" t="s">
        <v>94</v>
      </c>
      <c r="F9" s="11">
        <v>11</v>
      </c>
      <c r="G9" s="28" t="s">
        <v>76</v>
      </c>
      <c r="H9" s="12"/>
      <c r="I9" s="9" t="s">
        <v>17</v>
      </c>
      <c r="J9" s="10"/>
      <c r="K9" s="13" t="s">
        <v>69</v>
      </c>
    </row>
    <row r="10" spans="1:11" ht="69.95" hidden="1" customHeight="1" x14ac:dyDescent="0.25">
      <c r="A10" s="9" t="s">
        <v>14</v>
      </c>
      <c r="B10" s="20" t="str">
        <f>IF(ISNA(VLOOKUP(A10,Settings!$A$2:$B$11,2,FALSE)),"",VLOOKUP(A10,Settings!$A$2:$B$11,2,FALSE))</f>
        <v>Selma Mujanović</v>
      </c>
      <c r="C10" s="10">
        <v>46087</v>
      </c>
      <c r="D10" s="23" t="s">
        <v>63</v>
      </c>
      <c r="E10" s="23" t="s">
        <v>91</v>
      </c>
      <c r="F10" s="11">
        <v>11</v>
      </c>
      <c r="G10" s="28" t="s">
        <v>77</v>
      </c>
      <c r="H10" s="12"/>
      <c r="I10" s="9" t="s">
        <v>17</v>
      </c>
      <c r="J10" s="10"/>
      <c r="K10" s="13" t="s">
        <v>82</v>
      </c>
    </row>
    <row r="11" spans="1:11" ht="69.95" hidden="1" customHeight="1" x14ac:dyDescent="0.25">
      <c r="A11" s="9" t="s">
        <v>14</v>
      </c>
      <c r="B11" s="20" t="str">
        <f>IF(ISNA(VLOOKUP(A11,Settings!$A$2:$B$11,2,FALSE)),"",VLOOKUP(A11,Settings!$A$2:$B$11,2,FALSE))</f>
        <v>Selma Mujanović</v>
      </c>
      <c r="C11" s="10">
        <v>46126</v>
      </c>
      <c r="D11" s="23" t="s">
        <v>72</v>
      </c>
      <c r="E11" s="23" t="s">
        <v>91</v>
      </c>
      <c r="F11" s="11">
        <v>11</v>
      </c>
      <c r="G11" s="28" t="s">
        <v>78</v>
      </c>
      <c r="H11" s="12"/>
      <c r="I11" s="9" t="s">
        <v>17</v>
      </c>
      <c r="J11" s="10"/>
      <c r="K11" s="13" t="s">
        <v>83</v>
      </c>
    </row>
    <row r="12" spans="1:11" ht="69.95" hidden="1" customHeight="1" x14ac:dyDescent="0.25">
      <c r="A12" s="9" t="s">
        <v>14</v>
      </c>
      <c r="B12" s="20" t="str">
        <f>IF(ISNA(VLOOKUP(A12,Settings!$A$2:$B$11,2,FALSE)),"",VLOOKUP(A12,Settings!$A$2:$B$11,2,FALSE))</f>
        <v>Selma Mujanović</v>
      </c>
      <c r="C12" s="10">
        <v>46157</v>
      </c>
      <c r="D12" s="23" t="s">
        <v>73</v>
      </c>
      <c r="E12" s="23" t="s">
        <v>92</v>
      </c>
      <c r="F12" s="11">
        <v>11</v>
      </c>
      <c r="G12" s="28" t="s">
        <v>79</v>
      </c>
      <c r="H12" s="12"/>
      <c r="I12" s="9" t="s">
        <v>17</v>
      </c>
      <c r="J12" s="10"/>
      <c r="K12" s="13" t="s">
        <v>84</v>
      </c>
    </row>
    <row r="13" spans="1:11" ht="69.95" hidden="1" customHeight="1" x14ac:dyDescent="0.25">
      <c r="A13" s="9" t="s">
        <v>14</v>
      </c>
      <c r="B13" s="20" t="str">
        <f>IF(ISNA(VLOOKUP(A13,Settings!$A$2:$B$11,2,FALSE)),"",VLOOKUP(A13,Settings!$A$2:$B$11,2,FALSE))</f>
        <v>Selma Mujanović</v>
      </c>
      <c r="C13" s="10">
        <v>46190</v>
      </c>
      <c r="D13" s="23" t="s">
        <v>66</v>
      </c>
      <c r="E13" s="23" t="s">
        <v>98</v>
      </c>
      <c r="F13" s="11">
        <v>11</v>
      </c>
      <c r="G13" s="28" t="s">
        <v>74</v>
      </c>
      <c r="H13" s="12"/>
      <c r="I13" s="9" t="s">
        <v>17</v>
      </c>
      <c r="J13" s="10"/>
      <c r="K13" s="13" t="s">
        <v>81</v>
      </c>
    </row>
    <row r="14" spans="1:11" ht="69.95" hidden="1" customHeight="1" x14ac:dyDescent="0.25">
      <c r="A14" s="9" t="s">
        <v>42</v>
      </c>
      <c r="B14" s="20" t="str">
        <f>IF(ISNA(VLOOKUP(A14,Settings!$A$2:$B$11,2,FALSE)),"",VLOOKUP(A14,Settings!$A$2:$B$11,2,FALSE))</f>
        <v>Amela Fazlović</v>
      </c>
      <c r="C14" s="10">
        <v>45924</v>
      </c>
      <c r="D14" s="23" t="s">
        <v>85</v>
      </c>
      <c r="E14" s="23" t="s">
        <v>93</v>
      </c>
      <c r="F14" s="11">
        <v>23</v>
      </c>
      <c r="G14" s="28" t="s">
        <v>87</v>
      </c>
      <c r="H14" s="12"/>
      <c r="I14" s="9" t="s">
        <v>17</v>
      </c>
      <c r="J14" s="10"/>
      <c r="K14" s="13" t="s">
        <v>100</v>
      </c>
    </row>
    <row r="15" spans="1:11" ht="69.95" hidden="1" customHeight="1" x14ac:dyDescent="0.25">
      <c r="A15" s="9" t="s">
        <v>42</v>
      </c>
      <c r="B15" s="20" t="str">
        <f>IF(ISNA(VLOOKUP(A15,Settings!$A$2:$B$11,2,FALSE)),"",VLOOKUP(A15,Settings!$A$2:$B$11,2,FALSE))</f>
        <v>Amela Fazlović</v>
      </c>
      <c r="C15" s="10">
        <v>45973</v>
      </c>
      <c r="D15" s="23" t="s">
        <v>89</v>
      </c>
      <c r="E15" s="23" t="s">
        <v>92</v>
      </c>
      <c r="F15" s="11">
        <v>23</v>
      </c>
      <c r="G15" s="28" t="s">
        <v>87</v>
      </c>
      <c r="H15" s="12"/>
      <c r="I15" s="9" t="s">
        <v>17</v>
      </c>
      <c r="J15" s="10"/>
      <c r="K15" s="13" t="s">
        <v>90</v>
      </c>
    </row>
    <row r="16" spans="1:11" ht="69.95" hidden="1" customHeight="1" x14ac:dyDescent="0.25">
      <c r="A16" s="9" t="s">
        <v>42</v>
      </c>
      <c r="B16" s="20" t="str">
        <f>IF(ISNA(VLOOKUP(A16,Settings!$A$2:$B$11,2,FALSE)),"",VLOOKUP(A16,Settings!$A$2:$B$11,2,FALSE))</f>
        <v>Amela Fazlović</v>
      </c>
      <c r="C16" s="10">
        <v>46007</v>
      </c>
      <c r="D16" s="23" t="s">
        <v>71</v>
      </c>
      <c r="E16" s="23" t="s">
        <v>94</v>
      </c>
      <c r="F16" s="11">
        <v>23</v>
      </c>
      <c r="G16" s="28" t="s">
        <v>87</v>
      </c>
      <c r="H16" s="12"/>
      <c r="I16" s="9" t="s">
        <v>17</v>
      </c>
      <c r="J16" s="10"/>
      <c r="K16" s="13" t="s">
        <v>101</v>
      </c>
    </row>
    <row r="17" spans="1:11" ht="69.95" hidden="1" customHeight="1" x14ac:dyDescent="0.25">
      <c r="A17" s="9" t="s">
        <v>42</v>
      </c>
      <c r="B17" s="20" t="str">
        <f>IF(ISNA(VLOOKUP(A17,Settings!$A$2:$B$11,2,FALSE)),"",VLOOKUP(A17,Settings!$A$2:$B$11,2,FALSE))</f>
        <v>Amela Fazlović</v>
      </c>
      <c r="C17" s="10">
        <v>46043</v>
      </c>
      <c r="D17" s="23" t="s">
        <v>103</v>
      </c>
      <c r="E17" s="23" t="s">
        <v>94</v>
      </c>
      <c r="F17" s="11">
        <v>23</v>
      </c>
      <c r="G17" s="28" t="s">
        <v>87</v>
      </c>
      <c r="H17" s="12"/>
      <c r="I17" s="9" t="s">
        <v>17</v>
      </c>
      <c r="J17" s="10"/>
      <c r="K17" s="13" t="s">
        <v>102</v>
      </c>
    </row>
    <row r="18" spans="1:11" ht="69.95" hidden="1" customHeight="1" x14ac:dyDescent="0.25">
      <c r="A18" s="9" t="s">
        <v>42</v>
      </c>
      <c r="B18" s="20" t="str">
        <f>IF(ISNA(VLOOKUP(A18,Settings!$A$2:$B$11,2,FALSE)),"",VLOOKUP(A18,Settings!$A$2:$B$11,2,FALSE))</f>
        <v>Amela Fazlović</v>
      </c>
      <c r="C18" s="10">
        <v>46090</v>
      </c>
      <c r="D18" s="23" t="s">
        <v>104</v>
      </c>
      <c r="E18" s="23" t="s">
        <v>93</v>
      </c>
      <c r="F18" s="11">
        <v>23</v>
      </c>
      <c r="G18" s="28" t="s">
        <v>87</v>
      </c>
      <c r="H18" s="12"/>
      <c r="I18" s="9" t="s">
        <v>17</v>
      </c>
      <c r="J18" s="10"/>
      <c r="K18" s="13" t="s">
        <v>101</v>
      </c>
    </row>
    <row r="19" spans="1:11" ht="69.95" hidden="1" customHeight="1" x14ac:dyDescent="0.25">
      <c r="A19" s="9" t="s">
        <v>42</v>
      </c>
      <c r="B19" s="20" t="str">
        <f>IF(ISNA(VLOOKUP(A19,Settings!$A$2:$B$11,2,FALSE)),"",VLOOKUP(A19,Settings!$A$2:$B$11,2,FALSE))</f>
        <v>Amela Fazlović</v>
      </c>
      <c r="C19" s="10">
        <v>46127</v>
      </c>
      <c r="D19" s="23" t="s">
        <v>105</v>
      </c>
      <c r="E19" s="23" t="s">
        <v>91</v>
      </c>
      <c r="F19" s="11">
        <v>23</v>
      </c>
      <c r="G19" s="28" t="s">
        <v>87</v>
      </c>
      <c r="H19" s="12"/>
      <c r="I19" s="9" t="s">
        <v>17</v>
      </c>
      <c r="J19" s="10"/>
      <c r="K19" s="13" t="s">
        <v>101</v>
      </c>
    </row>
    <row r="20" spans="1:11" ht="69.95" hidden="1" customHeight="1" x14ac:dyDescent="0.25">
      <c r="A20" s="9" t="s">
        <v>42</v>
      </c>
      <c r="B20" s="20" t="str">
        <f>IF(ISNA(VLOOKUP(A20,Settings!$A$2:$B$11,2,FALSE)),"",VLOOKUP(A20,Settings!$A$2:$B$11,2,FALSE))</f>
        <v>Amela Fazlović</v>
      </c>
      <c r="C20" s="10">
        <v>46163</v>
      </c>
      <c r="D20" s="23" t="s">
        <v>106</v>
      </c>
      <c r="E20" s="23" t="s">
        <v>91</v>
      </c>
      <c r="F20" s="11">
        <v>23</v>
      </c>
      <c r="G20" s="28" t="s">
        <v>87</v>
      </c>
      <c r="H20" s="12"/>
      <c r="I20" s="9" t="s">
        <v>17</v>
      </c>
      <c r="J20" s="10"/>
      <c r="K20" s="13" t="s">
        <v>101</v>
      </c>
    </row>
    <row r="21" spans="1:11" ht="69.95" hidden="1" customHeight="1" x14ac:dyDescent="0.25">
      <c r="A21" s="9" t="s">
        <v>42</v>
      </c>
      <c r="B21" s="20" t="str">
        <f>IF(ISNA(VLOOKUP(A21,Settings!$A$2:$B$11,2,FALSE)),"",VLOOKUP(A21,Settings!$A$2:$B$11,2,FALSE))</f>
        <v>Amela Fazlović</v>
      </c>
      <c r="C21" s="10">
        <v>45826</v>
      </c>
      <c r="D21" s="23" t="s">
        <v>107</v>
      </c>
      <c r="E21" s="23" t="s">
        <v>93</v>
      </c>
      <c r="F21" s="11">
        <v>23</v>
      </c>
      <c r="G21" s="28" t="s">
        <v>87</v>
      </c>
      <c r="H21" s="12"/>
      <c r="I21" s="9" t="s">
        <v>17</v>
      </c>
      <c r="J21" s="10"/>
      <c r="K21" s="13" t="s">
        <v>101</v>
      </c>
    </row>
    <row r="22" spans="1:11" ht="69.95" hidden="1" customHeight="1" x14ac:dyDescent="0.25">
      <c r="A22" s="9" t="s">
        <v>16</v>
      </c>
      <c r="B22" s="20" t="str">
        <f>IF(ISNA(VLOOKUP(A22,[1]Settings!$A$2:$B$11,2,FALSE)),"",VLOOKUP(A22,[1]Settings!$A$2:$B$11,2,FALSE))</f>
        <v>Semra Isanović</v>
      </c>
      <c r="C22" s="10" t="s">
        <v>55</v>
      </c>
      <c r="D22" s="23" t="s">
        <v>66</v>
      </c>
      <c r="E22" s="23" t="s">
        <v>108</v>
      </c>
      <c r="F22" s="11">
        <v>12</v>
      </c>
      <c r="G22" s="28"/>
      <c r="H22" s="12"/>
      <c r="I22" s="9"/>
      <c r="J22" s="10"/>
      <c r="K22" s="13" t="s">
        <v>124</v>
      </c>
    </row>
    <row r="23" spans="1:11" ht="69.95" hidden="1" customHeight="1" x14ac:dyDescent="0.25">
      <c r="A23" s="9" t="s">
        <v>16</v>
      </c>
      <c r="B23" s="20" t="str">
        <f>IF(ISNA(VLOOKUP(A23,[1]Settings!$A$2:$B$11,2,FALSE)),"",VLOOKUP(A23,[1]Settings!$A$2:$B$11,2,FALSE))</f>
        <v>Semra Isanović</v>
      </c>
      <c r="C23" s="10" t="s">
        <v>109</v>
      </c>
      <c r="D23" s="23" t="s">
        <v>56</v>
      </c>
      <c r="E23" s="23" t="s">
        <v>110</v>
      </c>
      <c r="F23" s="11" t="s">
        <v>111</v>
      </c>
      <c r="G23" s="28"/>
      <c r="H23" s="12"/>
      <c r="I23" s="9"/>
      <c r="J23" s="10"/>
      <c r="K23" s="13" t="s">
        <v>125</v>
      </c>
    </row>
    <row r="24" spans="1:11" ht="69.95" hidden="1" customHeight="1" x14ac:dyDescent="0.25">
      <c r="A24" s="9" t="s">
        <v>16</v>
      </c>
      <c r="B24" s="20" t="str">
        <f>IF(ISNA(VLOOKUP(A24,[1]Settings!$A$2:$B$11,2,FALSE)),"",VLOOKUP(A24,[1]Settings!$A$2:$B$11,2,FALSE))</f>
        <v>Semra Isanović</v>
      </c>
      <c r="C24" s="10" t="s">
        <v>58</v>
      </c>
      <c r="D24" s="23" t="s">
        <v>89</v>
      </c>
      <c r="E24" s="23" t="s">
        <v>108</v>
      </c>
      <c r="F24" s="11">
        <v>12</v>
      </c>
      <c r="G24" s="28"/>
      <c r="H24" s="12"/>
      <c r="I24" s="9"/>
      <c r="J24" s="10"/>
      <c r="K24" s="13" t="s">
        <v>126</v>
      </c>
    </row>
    <row r="25" spans="1:11" ht="69.95" hidden="1" customHeight="1" x14ac:dyDescent="0.25">
      <c r="A25" s="9" t="s">
        <v>16</v>
      </c>
      <c r="B25" s="20" t="str">
        <f>IF(ISNA(VLOOKUP(A25,[1]Settings!$A$2:$B$11,2,FALSE)),"",VLOOKUP(A25,[1]Settings!$A$2:$B$11,2,FALSE))</f>
        <v>Semra Isanović</v>
      </c>
      <c r="C25" s="10" t="s">
        <v>59</v>
      </c>
      <c r="D25" s="23" t="s">
        <v>112</v>
      </c>
      <c r="E25" s="23" t="s">
        <v>113</v>
      </c>
      <c r="F25" s="11">
        <v>12</v>
      </c>
      <c r="G25" s="28"/>
      <c r="H25" s="12"/>
      <c r="I25" s="9"/>
      <c r="J25" s="10"/>
      <c r="K25" s="13" t="s">
        <v>126</v>
      </c>
    </row>
    <row r="26" spans="1:11" ht="69.95" hidden="1" customHeight="1" x14ac:dyDescent="0.25">
      <c r="A26" s="9" t="s">
        <v>16</v>
      </c>
      <c r="B26" s="20" t="str">
        <f>IF(ISNA(VLOOKUP(A26,[1]Settings!$A$2:$B$11,2,FALSE)),"",VLOOKUP(A26,[1]Settings!$A$2:$B$11,2,FALSE))</f>
        <v>Semra Isanović</v>
      </c>
      <c r="C26" s="10" t="s">
        <v>114</v>
      </c>
      <c r="D26" s="23" t="s">
        <v>115</v>
      </c>
      <c r="E26" s="23" t="s">
        <v>108</v>
      </c>
      <c r="F26" s="11">
        <v>12</v>
      </c>
      <c r="G26" s="28"/>
      <c r="H26" s="12"/>
      <c r="I26" s="9"/>
      <c r="J26" s="10"/>
      <c r="K26" s="13" t="s">
        <v>127</v>
      </c>
    </row>
    <row r="27" spans="1:11" ht="69.95" hidden="1" customHeight="1" x14ac:dyDescent="0.25">
      <c r="A27" s="9" t="s">
        <v>16</v>
      </c>
      <c r="B27" s="20" t="str">
        <f>IF(ISNA(VLOOKUP(A27,[1]Settings!$A$2:$B$11,2,FALSE)),"",VLOOKUP(A27,[1]Settings!$A$2:$B$11,2,FALSE))</f>
        <v>Semra Isanović</v>
      </c>
      <c r="C27" s="10" t="s">
        <v>61</v>
      </c>
      <c r="D27" s="23" t="s">
        <v>116</v>
      </c>
      <c r="E27" s="23" t="s">
        <v>117</v>
      </c>
      <c r="F27" s="11">
        <v>12</v>
      </c>
      <c r="G27" s="28"/>
      <c r="H27" s="12"/>
      <c r="I27" s="9"/>
      <c r="J27" s="10"/>
      <c r="K27" s="13" t="s">
        <v>128</v>
      </c>
    </row>
    <row r="28" spans="1:11" ht="69.95" hidden="1" customHeight="1" x14ac:dyDescent="0.25">
      <c r="A28" s="9" t="s">
        <v>16</v>
      </c>
      <c r="B28" s="20" t="str">
        <f>IF(ISNA(VLOOKUP(A28,[1]Settings!$A$2:$B$11,2,FALSE)),"",VLOOKUP(A28,[1]Settings!$A$2:$B$11,2,FALSE))</f>
        <v>Semra Isanović</v>
      </c>
      <c r="C28" s="10" t="s">
        <v>62</v>
      </c>
      <c r="D28" s="23" t="s">
        <v>118</v>
      </c>
      <c r="E28" s="23" t="s">
        <v>110</v>
      </c>
      <c r="F28" s="11">
        <v>12</v>
      </c>
      <c r="G28" s="28"/>
      <c r="H28" s="12"/>
      <c r="I28" s="9"/>
      <c r="J28" s="10"/>
      <c r="K28" s="13" t="s">
        <v>129</v>
      </c>
    </row>
    <row r="29" spans="1:11" ht="69.95" hidden="1" customHeight="1" x14ac:dyDescent="0.25">
      <c r="A29" s="9" t="s">
        <v>16</v>
      </c>
      <c r="B29" s="20" t="str">
        <f>IF(ISNA(VLOOKUP(A29,[1]Settings!$A$2:$B$11,2,FALSE)),"",VLOOKUP(A29,[1]Settings!$A$2:$B$11,2,FALSE))</f>
        <v>Semra Isanović</v>
      </c>
      <c r="C29" s="10" t="s">
        <v>64</v>
      </c>
      <c r="D29" s="23" t="s">
        <v>119</v>
      </c>
      <c r="E29" s="23" t="s">
        <v>120</v>
      </c>
      <c r="F29" s="11">
        <v>12</v>
      </c>
      <c r="G29" s="28"/>
      <c r="H29" s="12"/>
      <c r="I29" s="9"/>
      <c r="J29" s="10"/>
      <c r="K29" s="13" t="s">
        <v>130</v>
      </c>
    </row>
    <row r="30" spans="1:11" ht="69.95" hidden="1" customHeight="1" x14ac:dyDescent="0.25">
      <c r="A30" s="9" t="s">
        <v>16</v>
      </c>
      <c r="B30" s="20" t="str">
        <f>IF(ISNA(VLOOKUP(A30,[1]Settings!$A$2:$B$11,2,FALSE)),"",VLOOKUP(A30,[1]Settings!$A$2:$B$11,2,FALSE))</f>
        <v>Semra Isanović</v>
      </c>
      <c r="C30" s="10" t="s">
        <v>65</v>
      </c>
      <c r="D30" s="23" t="s">
        <v>121</v>
      </c>
      <c r="E30" s="23" t="s">
        <v>110</v>
      </c>
      <c r="F30" s="11">
        <v>12</v>
      </c>
      <c r="G30" s="28"/>
      <c r="H30" s="12"/>
      <c r="I30" s="9"/>
      <c r="J30" s="10"/>
      <c r="K30" s="13" t="s">
        <v>131</v>
      </c>
    </row>
    <row r="31" spans="1:11" ht="69.95" hidden="1" customHeight="1" x14ac:dyDescent="0.25">
      <c r="A31" s="9" t="s">
        <v>16</v>
      </c>
      <c r="B31" s="20" t="str">
        <f>IF(ISNA(VLOOKUP(A31,[1]Settings!$A$2:$B$11,2,FALSE)),"",VLOOKUP(A31,[1]Settings!$A$2:$B$11,2,FALSE))</f>
        <v>Semra Isanović</v>
      </c>
      <c r="C31" s="10" t="s">
        <v>122</v>
      </c>
      <c r="D31" s="23" t="s">
        <v>123</v>
      </c>
      <c r="E31" s="23" t="s">
        <v>110</v>
      </c>
      <c r="F31" s="11">
        <v>12</v>
      </c>
      <c r="G31" s="28"/>
      <c r="H31" s="12"/>
      <c r="I31" s="9"/>
      <c r="J31" s="10"/>
      <c r="K31" s="13" t="s">
        <v>126</v>
      </c>
    </row>
    <row r="32" spans="1:11" ht="69.95" hidden="1" customHeight="1" x14ac:dyDescent="0.25">
      <c r="A32" s="9" t="s">
        <v>18</v>
      </c>
      <c r="B32" s="20" t="str">
        <f>IF(ISNA(VLOOKUP(A32,[2]Settings!$A$2:$B$11,2,FALSE)),"",VLOOKUP(A32,[2]Settings!$A$2:$B$11,2,FALSE))</f>
        <v>Amra Kurešepi</v>
      </c>
      <c r="C32" s="10" t="s">
        <v>55</v>
      </c>
      <c r="D32" s="23" t="s">
        <v>132</v>
      </c>
      <c r="E32" s="23" t="s">
        <v>57</v>
      </c>
      <c r="F32" s="11" t="s">
        <v>133</v>
      </c>
      <c r="G32" s="28"/>
      <c r="H32" s="12"/>
      <c r="I32" s="9"/>
      <c r="J32" s="10"/>
      <c r="K32" s="13" t="s">
        <v>53</v>
      </c>
    </row>
    <row r="33" spans="1:11" ht="69.95" hidden="1" customHeight="1" x14ac:dyDescent="0.25">
      <c r="A33" s="9" t="s">
        <v>18</v>
      </c>
      <c r="B33" s="20" t="str">
        <f>IF(ISNA(VLOOKUP(A33,[2]Settings!$A$2:$B$11,2,FALSE)),"",VLOOKUP(A33,[2]Settings!$A$2:$B$11,2,FALSE))</f>
        <v>Amra Kurešepi</v>
      </c>
      <c r="C33" s="10" t="s">
        <v>109</v>
      </c>
      <c r="D33" s="23" t="s">
        <v>66</v>
      </c>
      <c r="E33" s="23" t="s">
        <v>108</v>
      </c>
      <c r="F33" s="11">
        <v>9</v>
      </c>
      <c r="G33" s="28"/>
      <c r="H33" s="12"/>
      <c r="I33" s="9"/>
      <c r="J33" s="10"/>
      <c r="K33" s="13" t="s">
        <v>134</v>
      </c>
    </row>
    <row r="34" spans="1:11" ht="69.95" hidden="1" customHeight="1" x14ac:dyDescent="0.25">
      <c r="A34" s="9" t="s">
        <v>18</v>
      </c>
      <c r="B34" s="20" t="str">
        <f>IF(ISNA(VLOOKUP(A34,[2]Settings!$A$2:$B$11,2,FALSE)),"",VLOOKUP(A34,[2]Settings!$A$2:$B$11,2,FALSE))</f>
        <v>Amra Kurešepi</v>
      </c>
      <c r="C34" s="10" t="s">
        <v>58</v>
      </c>
      <c r="D34" s="23" t="s">
        <v>135</v>
      </c>
      <c r="E34" s="23" t="s">
        <v>136</v>
      </c>
      <c r="F34" s="11">
        <v>9</v>
      </c>
      <c r="G34" s="28"/>
      <c r="H34" s="12"/>
      <c r="I34" s="9"/>
      <c r="J34" s="10"/>
      <c r="K34" s="13" t="s">
        <v>137</v>
      </c>
    </row>
    <row r="35" spans="1:11" ht="69.95" hidden="1" customHeight="1" x14ac:dyDescent="0.25">
      <c r="A35" s="9" t="s">
        <v>18</v>
      </c>
      <c r="B35" s="20" t="str">
        <f>IF(ISNA(VLOOKUP(A35,[2]Settings!$A$2:$B$11,2,FALSE)),"",VLOOKUP(A35,[2]Settings!$A$2:$B$11,2,FALSE))</f>
        <v>Amra Kurešepi</v>
      </c>
      <c r="C35" s="10" t="s">
        <v>59</v>
      </c>
      <c r="D35" s="23" t="s">
        <v>115</v>
      </c>
      <c r="E35" s="23" t="s">
        <v>138</v>
      </c>
      <c r="F35" s="11">
        <v>9</v>
      </c>
      <c r="G35" s="28"/>
      <c r="H35" s="12"/>
      <c r="I35" s="9"/>
      <c r="J35" s="10"/>
      <c r="K35" s="13" t="s">
        <v>139</v>
      </c>
    </row>
    <row r="36" spans="1:11" ht="69.95" hidden="1" customHeight="1" x14ac:dyDescent="0.25">
      <c r="A36" s="9" t="s">
        <v>18</v>
      </c>
      <c r="B36" s="20" t="str">
        <f>IF(ISNA(VLOOKUP(A36,[2]Settings!$A$2:$B$11,2,FALSE)),"",VLOOKUP(A36,[2]Settings!$A$2:$B$11,2,FALSE))</f>
        <v>Amra Kurešepi</v>
      </c>
      <c r="C36" s="10" t="s">
        <v>114</v>
      </c>
      <c r="D36" s="23" t="s">
        <v>112</v>
      </c>
      <c r="E36" s="23" t="s">
        <v>140</v>
      </c>
      <c r="F36" s="11">
        <v>9</v>
      </c>
      <c r="G36" s="28"/>
      <c r="H36" s="12"/>
      <c r="I36" s="9"/>
      <c r="J36" s="10"/>
      <c r="K36" s="13" t="s">
        <v>141</v>
      </c>
    </row>
    <row r="37" spans="1:11" ht="69.95" hidden="1" customHeight="1" x14ac:dyDescent="0.25">
      <c r="A37" s="9" t="s">
        <v>18</v>
      </c>
      <c r="B37" s="20" t="str">
        <f>IF(ISNA(VLOOKUP(A37,[2]Settings!$A$2:$B$11,2,FALSE)),"",VLOOKUP(A37,[2]Settings!$A$2:$B$11,2,FALSE))</f>
        <v>Amra Kurešepi</v>
      </c>
      <c r="C37" s="10" t="s">
        <v>61</v>
      </c>
      <c r="D37" s="23" t="s">
        <v>142</v>
      </c>
      <c r="E37" s="23" t="s">
        <v>117</v>
      </c>
      <c r="F37" s="11">
        <v>9</v>
      </c>
      <c r="G37" s="28"/>
      <c r="H37" s="12"/>
      <c r="I37" s="9"/>
      <c r="J37" s="10"/>
      <c r="K37" s="13" t="s">
        <v>143</v>
      </c>
    </row>
    <row r="38" spans="1:11" ht="69.95" hidden="1" customHeight="1" x14ac:dyDescent="0.25">
      <c r="A38" s="9" t="s">
        <v>18</v>
      </c>
      <c r="B38" s="20" t="str">
        <f>IF(ISNA(VLOOKUP(A38,[2]Settings!$A$2:$B$11,2,FALSE)),"",VLOOKUP(A38,[2]Settings!$A$2:$B$11,2,FALSE))</f>
        <v>Amra Kurešepi</v>
      </c>
      <c r="C38" s="10" t="s">
        <v>62</v>
      </c>
      <c r="D38" s="23" t="s">
        <v>144</v>
      </c>
      <c r="E38" s="23" t="s">
        <v>145</v>
      </c>
      <c r="F38" s="11">
        <v>9</v>
      </c>
      <c r="G38" s="28"/>
      <c r="H38" s="12"/>
      <c r="I38" s="9"/>
      <c r="J38" s="10"/>
      <c r="K38" s="13" t="s">
        <v>146</v>
      </c>
    </row>
    <row r="39" spans="1:11" ht="69.95" hidden="1" customHeight="1" x14ac:dyDescent="0.25">
      <c r="A39" s="9" t="s">
        <v>18</v>
      </c>
      <c r="B39" s="20" t="str">
        <f>IF(ISNA(VLOOKUP(A39,[2]Settings!$A$2:$B$11,2,FALSE)),"",VLOOKUP(A39,[2]Settings!$A$2:$B$11,2,FALSE))</f>
        <v>Amra Kurešepi</v>
      </c>
      <c r="C39" s="10" t="s">
        <v>64</v>
      </c>
      <c r="D39" s="23" t="s">
        <v>119</v>
      </c>
      <c r="E39" s="23" t="s">
        <v>120</v>
      </c>
      <c r="F39" s="11">
        <v>9</v>
      </c>
      <c r="G39" s="28"/>
      <c r="H39" s="12"/>
      <c r="I39" s="9"/>
      <c r="J39" s="10"/>
      <c r="K39" s="13" t="s">
        <v>147</v>
      </c>
    </row>
    <row r="40" spans="1:11" ht="69.95" hidden="1" customHeight="1" x14ac:dyDescent="0.25">
      <c r="A40" s="9" t="s">
        <v>18</v>
      </c>
      <c r="B40" s="20" t="str">
        <f>IF(ISNA(VLOOKUP(A40,[2]Settings!$A$2:$B$11,2,FALSE)),"",VLOOKUP(A40,[2]Settings!$A$2:$B$11,2,FALSE))</f>
        <v>Amra Kurešepi</v>
      </c>
      <c r="C40" s="10" t="s">
        <v>65</v>
      </c>
      <c r="D40" s="23" t="s">
        <v>148</v>
      </c>
      <c r="E40" s="23" t="s">
        <v>149</v>
      </c>
      <c r="F40" s="11">
        <v>9</v>
      </c>
      <c r="G40" s="28"/>
      <c r="H40" s="12"/>
      <c r="I40" s="9"/>
      <c r="J40" s="10"/>
      <c r="K40" s="13" t="s">
        <v>146</v>
      </c>
    </row>
    <row r="41" spans="1:11" ht="69.95" hidden="1" customHeight="1" x14ac:dyDescent="0.25">
      <c r="A41" s="9" t="s">
        <v>18</v>
      </c>
      <c r="B41" s="20" t="str">
        <f>IF(ISNA(VLOOKUP(A41,[2]Settings!$A$2:$B$11,2,FALSE)),"",VLOOKUP(A41,[2]Settings!$A$2:$B$11,2,FALSE))</f>
        <v>Amra Kurešepi</v>
      </c>
      <c r="C41" s="10" t="s">
        <v>122</v>
      </c>
      <c r="D41" s="23" t="s">
        <v>150</v>
      </c>
      <c r="E41" s="23" t="s">
        <v>110</v>
      </c>
      <c r="F41" s="11">
        <v>9</v>
      </c>
      <c r="G41" s="28"/>
      <c r="H41" s="12"/>
      <c r="I41" s="9"/>
      <c r="J41" s="10"/>
      <c r="K41" s="13" t="s">
        <v>151</v>
      </c>
    </row>
    <row r="42" spans="1:11" ht="69.95" hidden="1" customHeight="1" x14ac:dyDescent="0.25">
      <c r="A42" s="9" t="s">
        <v>21</v>
      </c>
      <c r="B42" s="20" t="str">
        <f>IF(ISNA(VLOOKUP(A42,Settings!$A$2:$B$11,2,FALSE)),"",VLOOKUP(A42,Settings!$A$2:$B$11,2,FALSE))</f>
        <v>Amina Ibrahimović Bojić</v>
      </c>
      <c r="C42" s="10" t="s">
        <v>152</v>
      </c>
      <c r="D42" s="11" t="s">
        <v>153</v>
      </c>
      <c r="E42" s="11" t="s">
        <v>154</v>
      </c>
      <c r="F42" s="11">
        <v>15</v>
      </c>
      <c r="G42" s="28"/>
      <c r="H42" s="12"/>
      <c r="I42" s="9"/>
      <c r="J42" s="10"/>
      <c r="K42" s="13" t="s">
        <v>178</v>
      </c>
    </row>
    <row r="43" spans="1:11" ht="69.95" hidden="1" customHeight="1" x14ac:dyDescent="0.25">
      <c r="A43" s="9" t="s">
        <v>21</v>
      </c>
      <c r="B43" s="20" t="str">
        <f>IF(ISNA(VLOOKUP(A43,Settings!$A$2:$B$11,2,FALSE)),"",VLOOKUP(A43,Settings!$A$2:$B$11,2,FALSE))</f>
        <v>Amina Ibrahimović Bojić</v>
      </c>
      <c r="C43" s="10" t="s">
        <v>155</v>
      </c>
      <c r="D43" s="11" t="s">
        <v>156</v>
      </c>
      <c r="E43" s="11" t="s">
        <v>157</v>
      </c>
      <c r="F43" s="11">
        <v>15</v>
      </c>
      <c r="G43" s="28"/>
      <c r="H43" s="12"/>
      <c r="I43" s="9"/>
      <c r="J43" s="10"/>
      <c r="K43" s="13" t="s">
        <v>179</v>
      </c>
    </row>
    <row r="44" spans="1:11" ht="69.95" hidden="1" customHeight="1" x14ac:dyDescent="0.25">
      <c r="A44" s="9" t="s">
        <v>21</v>
      </c>
      <c r="B44" s="20" t="str">
        <f>IF(ISNA(VLOOKUP(A44,Settings!$A$2:$B$11,2,FALSE)),"",VLOOKUP(A44,Settings!$A$2:$B$11,2,FALSE))</f>
        <v>Amina Ibrahimović Bojić</v>
      </c>
      <c r="C44" s="10" t="s">
        <v>158</v>
      </c>
      <c r="D44" s="11" t="s">
        <v>159</v>
      </c>
      <c r="E44" s="11" t="s">
        <v>160</v>
      </c>
      <c r="F44" s="11">
        <v>15</v>
      </c>
      <c r="G44" s="28"/>
      <c r="H44" s="12"/>
      <c r="I44" s="9"/>
      <c r="J44" s="10"/>
      <c r="K44" s="13" t="s">
        <v>179</v>
      </c>
    </row>
    <row r="45" spans="1:11" ht="69.95" hidden="1" customHeight="1" x14ac:dyDescent="0.25">
      <c r="A45" s="9" t="s">
        <v>21</v>
      </c>
      <c r="B45" s="20" t="str">
        <f>IF(ISNA(VLOOKUP(A45,Settings!$A$2:$B$11,2,FALSE)),"",VLOOKUP(A45,Settings!$A$2:$B$11,2,FALSE))</f>
        <v>Amina Ibrahimović Bojić</v>
      </c>
      <c r="C45" s="10" t="s">
        <v>161</v>
      </c>
      <c r="D45" s="11" t="s">
        <v>162</v>
      </c>
      <c r="E45" s="11" t="s">
        <v>163</v>
      </c>
      <c r="F45" s="11">
        <v>15</v>
      </c>
      <c r="G45" s="28"/>
      <c r="H45" s="12"/>
      <c r="I45" s="9"/>
      <c r="J45" s="10"/>
      <c r="K45" s="13" t="s">
        <v>179</v>
      </c>
    </row>
    <row r="46" spans="1:11" ht="69.95" hidden="1" customHeight="1" x14ac:dyDescent="0.25">
      <c r="A46" s="9" t="s">
        <v>21</v>
      </c>
      <c r="B46" s="20" t="str">
        <f>IF(ISNA(VLOOKUP(A46,Settings!$A$2:$B$11,2,FALSE)),"",VLOOKUP(A46,Settings!$A$2:$B$11,2,FALSE))</f>
        <v>Amina Ibrahimović Bojić</v>
      </c>
      <c r="C46" s="10" t="s">
        <v>164</v>
      </c>
      <c r="D46" s="11" t="s">
        <v>165</v>
      </c>
      <c r="E46" s="11" t="s">
        <v>166</v>
      </c>
      <c r="F46" s="11">
        <v>15</v>
      </c>
      <c r="G46" s="28"/>
      <c r="H46" s="12"/>
      <c r="I46" s="9"/>
      <c r="J46" s="10"/>
      <c r="K46" s="13" t="s">
        <v>179</v>
      </c>
    </row>
    <row r="47" spans="1:11" ht="69.95" hidden="1" customHeight="1" x14ac:dyDescent="0.25">
      <c r="A47" s="9" t="s">
        <v>21</v>
      </c>
      <c r="B47" s="20" t="str">
        <f>IF(ISNA(VLOOKUP(A47,Settings!$A$2:$B$11,2,FALSE)),"",VLOOKUP(A47,Settings!$A$2:$B$11,2,FALSE))</f>
        <v>Amina Ibrahimović Bojić</v>
      </c>
      <c r="C47" s="10" t="s">
        <v>167</v>
      </c>
      <c r="D47" s="11" t="s">
        <v>168</v>
      </c>
      <c r="E47" s="11" t="s">
        <v>169</v>
      </c>
      <c r="F47" s="11">
        <v>15</v>
      </c>
      <c r="G47" s="28"/>
      <c r="H47" s="12"/>
      <c r="I47" s="9"/>
      <c r="J47" s="10"/>
      <c r="K47" s="13" t="s">
        <v>179</v>
      </c>
    </row>
    <row r="48" spans="1:11" ht="69.95" hidden="1" customHeight="1" x14ac:dyDescent="0.25">
      <c r="A48" s="9" t="s">
        <v>21</v>
      </c>
      <c r="B48" s="20" t="str">
        <f>IF(ISNA(VLOOKUP(A48,Settings!$A$2:$B$11,2,FALSE)),"",VLOOKUP(A48,Settings!$A$2:$B$11,2,FALSE))</f>
        <v>Amina Ibrahimović Bojić</v>
      </c>
      <c r="C48" s="10" t="s">
        <v>170</v>
      </c>
      <c r="D48" s="11" t="s">
        <v>171</v>
      </c>
      <c r="E48" s="11" t="s">
        <v>172</v>
      </c>
      <c r="F48" s="11">
        <v>15</v>
      </c>
      <c r="G48" s="28"/>
      <c r="H48" s="12"/>
      <c r="I48" s="9"/>
      <c r="J48" s="10"/>
      <c r="K48" s="13" t="s">
        <v>179</v>
      </c>
    </row>
    <row r="49" spans="1:11" ht="69.95" hidden="1" customHeight="1" x14ac:dyDescent="0.25">
      <c r="A49" s="9" t="s">
        <v>21</v>
      </c>
      <c r="B49" s="20" t="str">
        <f>IF(ISNA(VLOOKUP(A49,Settings!$A$2:$B$11,2,FALSE)),"",VLOOKUP(A49,Settings!$A$2:$B$11,2,FALSE))</f>
        <v>Amina Ibrahimović Bojić</v>
      </c>
      <c r="C49" s="10" t="s">
        <v>173</v>
      </c>
      <c r="D49" s="11" t="s">
        <v>80</v>
      </c>
      <c r="E49" s="11" t="s">
        <v>174</v>
      </c>
      <c r="F49" s="11">
        <v>15</v>
      </c>
      <c r="G49" s="28"/>
      <c r="H49" s="12"/>
      <c r="I49" s="9"/>
      <c r="J49" s="10"/>
      <c r="K49" s="13" t="s">
        <v>179</v>
      </c>
    </row>
    <row r="50" spans="1:11" ht="69.95" hidden="1" customHeight="1" x14ac:dyDescent="0.25">
      <c r="A50" s="9" t="s">
        <v>21</v>
      </c>
      <c r="B50" s="20" t="str">
        <f>IF(ISNA(VLOOKUP(A50,Settings!$A$2:$B$11,2,FALSE)),"",VLOOKUP(A50,Settings!$A$2:$B$11,2,FALSE))</f>
        <v>Amina Ibrahimović Bojić</v>
      </c>
      <c r="C50" s="10" t="s">
        <v>175</v>
      </c>
      <c r="D50" s="11" t="s">
        <v>176</v>
      </c>
      <c r="E50" s="11" t="s">
        <v>177</v>
      </c>
      <c r="F50" s="11">
        <v>15</v>
      </c>
      <c r="G50" s="28"/>
      <c r="H50" s="12"/>
      <c r="I50" s="9"/>
      <c r="J50" s="10"/>
      <c r="K50" s="13" t="s">
        <v>179</v>
      </c>
    </row>
    <row r="51" spans="1:11" ht="69.95" customHeight="1" x14ac:dyDescent="0.25">
      <c r="A51" s="9" t="s">
        <v>23</v>
      </c>
      <c r="B51" s="20" t="str">
        <f>IF(ISNA(VLOOKUP(A51,[3]Settings!$A$2:$B$11,2,FALSE)),"",VLOOKUP(A51,[3]Settings!$A$2:$B$11,2,FALSE))</f>
        <v>Amra Franca</v>
      </c>
      <c r="C51" s="10" t="s">
        <v>180</v>
      </c>
      <c r="D51" s="23" t="s">
        <v>181</v>
      </c>
      <c r="E51" s="23" t="s">
        <v>182</v>
      </c>
      <c r="F51" s="11">
        <v>6</v>
      </c>
      <c r="G51" s="28" t="s">
        <v>1</v>
      </c>
      <c r="H51" s="12"/>
      <c r="I51" s="9"/>
      <c r="J51" s="10"/>
      <c r="K51" s="13" t="s">
        <v>203</v>
      </c>
    </row>
    <row r="52" spans="1:11" ht="69.95" customHeight="1" x14ac:dyDescent="0.25">
      <c r="A52" s="9" t="s">
        <v>23</v>
      </c>
      <c r="B52" s="20" t="str">
        <f>IF(ISNA(VLOOKUP(A52,[3]Settings!$A$2:$B$11,2,FALSE)),"",VLOOKUP(A52,[3]Settings!$A$2:$B$11,2,FALSE))</f>
        <v>Amra Franca</v>
      </c>
      <c r="C52" s="10" t="s">
        <v>183</v>
      </c>
      <c r="D52" s="23" t="s">
        <v>184</v>
      </c>
      <c r="E52" s="23" t="s">
        <v>185</v>
      </c>
      <c r="F52" s="11">
        <v>6</v>
      </c>
      <c r="G52" s="28"/>
      <c r="H52" s="12"/>
      <c r="I52" s="9"/>
      <c r="J52" s="10"/>
      <c r="K52" s="13"/>
    </row>
    <row r="53" spans="1:11" ht="69.95" customHeight="1" x14ac:dyDescent="0.25">
      <c r="A53" s="9" t="s">
        <v>23</v>
      </c>
      <c r="B53" s="20" t="str">
        <f>IF(ISNA(VLOOKUP(A53,[3]Settings!$A$2:$B$11,2,FALSE)),"",VLOOKUP(A53,[3]Settings!$A$2:$B$11,2,FALSE))</f>
        <v>Amra Franca</v>
      </c>
      <c r="C53" s="10" t="s">
        <v>186</v>
      </c>
      <c r="D53" s="23" t="s">
        <v>187</v>
      </c>
      <c r="E53" s="23" t="s">
        <v>188</v>
      </c>
      <c r="F53" s="11">
        <v>6</v>
      </c>
      <c r="G53" s="28" t="s">
        <v>31</v>
      </c>
      <c r="H53" s="12"/>
      <c r="I53" s="9"/>
      <c r="J53" s="10"/>
      <c r="K53" s="13"/>
    </row>
    <row r="54" spans="1:11" ht="69.95" customHeight="1" x14ac:dyDescent="0.25">
      <c r="A54" s="9" t="s">
        <v>23</v>
      </c>
      <c r="B54" s="20" t="str">
        <f>IF(ISNA(VLOOKUP(A54,[3]Settings!$A$2:$B$11,2,FALSE)),"",VLOOKUP(A54,[3]Settings!$A$2:$B$11,2,FALSE))</f>
        <v>Amra Franca</v>
      </c>
      <c r="C54" s="10" t="s">
        <v>189</v>
      </c>
      <c r="D54" s="23" t="s">
        <v>80</v>
      </c>
      <c r="E54" s="23" t="s">
        <v>190</v>
      </c>
      <c r="F54" s="11">
        <v>6</v>
      </c>
      <c r="G54" s="28"/>
      <c r="H54" s="12"/>
      <c r="I54" s="9"/>
      <c r="J54" s="10"/>
      <c r="K54" s="13"/>
    </row>
    <row r="55" spans="1:11" ht="69.95" customHeight="1" x14ac:dyDescent="0.25">
      <c r="A55" s="9" t="s">
        <v>23</v>
      </c>
      <c r="B55" s="20" t="str">
        <f>IF(ISNA(VLOOKUP(A55,[3]Settings!$A$2:$B$11,2,FALSE)),"",VLOOKUP(A55,[3]Settings!$A$2:$B$11,2,FALSE))</f>
        <v>Amra Franca</v>
      </c>
      <c r="C55" s="10" t="s">
        <v>191</v>
      </c>
      <c r="D55" s="23" t="s">
        <v>192</v>
      </c>
      <c r="E55" s="23" t="s">
        <v>193</v>
      </c>
      <c r="F55" s="11">
        <v>6</v>
      </c>
      <c r="G55" s="28" t="s">
        <v>39</v>
      </c>
      <c r="H55" s="12"/>
      <c r="I55" s="9"/>
      <c r="J55" s="10"/>
      <c r="K55" s="13"/>
    </row>
    <row r="56" spans="1:11" ht="69.95" customHeight="1" x14ac:dyDescent="0.25">
      <c r="A56" s="9" t="s">
        <v>23</v>
      </c>
      <c r="B56" s="20" t="str">
        <f>IF(ISNA(VLOOKUP(A56,[3]Settings!$A$2:$B$11,2,FALSE)),"",VLOOKUP(A56,[3]Settings!$A$2:$B$11,2,FALSE))</f>
        <v>Amra Franca</v>
      </c>
      <c r="C56" s="10" t="s">
        <v>194</v>
      </c>
      <c r="D56" s="23" t="s">
        <v>195</v>
      </c>
      <c r="E56" s="23" t="s">
        <v>196</v>
      </c>
      <c r="F56" s="11">
        <v>6</v>
      </c>
      <c r="G56" s="28"/>
      <c r="H56" s="12"/>
      <c r="I56" s="9"/>
      <c r="J56" s="10"/>
      <c r="K56" s="13"/>
    </row>
    <row r="57" spans="1:11" ht="69.95" customHeight="1" x14ac:dyDescent="0.25">
      <c r="A57" s="9" t="s">
        <v>23</v>
      </c>
      <c r="B57" s="20" t="str">
        <f>IF(ISNA(VLOOKUP(A57,[3]Settings!$A$2:$B$11,2,FALSE)),"",VLOOKUP(A57,[3]Settings!$A$2:$B$11,2,FALSE))</f>
        <v>Amra Franca</v>
      </c>
      <c r="C57" s="10" t="s">
        <v>197</v>
      </c>
      <c r="D57" s="23" t="s">
        <v>198</v>
      </c>
      <c r="E57" s="23" t="s">
        <v>199</v>
      </c>
      <c r="F57" s="11">
        <v>6</v>
      </c>
      <c r="G57" s="28"/>
      <c r="H57" s="12"/>
      <c r="I57" s="9"/>
      <c r="J57" s="10"/>
      <c r="K57" s="13"/>
    </row>
    <row r="58" spans="1:11" ht="69.95" customHeight="1" x14ac:dyDescent="0.25">
      <c r="A58" s="9" t="s">
        <v>23</v>
      </c>
      <c r="B58" s="20" t="str">
        <f>IF(ISNA(VLOOKUP(A58,[3]Settings!$A$2:$B$11,2,FALSE)),"",VLOOKUP(A58,[3]Settings!$A$2:$B$11,2,FALSE))</f>
        <v>Amra Franca</v>
      </c>
      <c r="C58" s="10" t="s">
        <v>200</v>
      </c>
      <c r="D58" s="23" t="s">
        <v>201</v>
      </c>
      <c r="E58" s="23" t="s">
        <v>202</v>
      </c>
      <c r="F58" s="11">
        <v>6</v>
      </c>
      <c r="G58" s="28" t="s">
        <v>2</v>
      </c>
      <c r="H58" s="12"/>
      <c r="I58" s="9"/>
      <c r="J58" s="10"/>
      <c r="K58" s="13"/>
    </row>
    <row r="59" spans="1:11" ht="69.95" hidden="1" customHeight="1" x14ac:dyDescent="0.25">
      <c r="A59" s="9"/>
      <c r="B59" s="20" t="str">
        <f>IF(ISNA(VLOOKUP(A59,Settings!$A$2:$B$11,2,FALSE)),"",VLOOKUP(A59,Settings!$A$2:$B$11,2,FALSE))</f>
        <v/>
      </c>
      <c r="C59" s="10"/>
      <c r="D59" s="23"/>
      <c r="E59" s="23"/>
      <c r="F59" s="11"/>
      <c r="G59" s="28"/>
      <c r="H59" s="12"/>
      <c r="I59" s="9"/>
      <c r="J59" s="10"/>
      <c r="K59" s="13"/>
    </row>
    <row r="60" spans="1:11" ht="69.95" hidden="1" customHeight="1" x14ac:dyDescent="0.25">
      <c r="A60" s="9"/>
      <c r="B60" s="20" t="str">
        <f>IF(ISNA(VLOOKUP(A60,Settings!$A$2:$B$11,2,FALSE)),"",VLOOKUP(A60,Settings!$A$2:$B$11,2,FALSE))</f>
        <v/>
      </c>
      <c r="C60" s="10"/>
      <c r="D60" s="23"/>
      <c r="E60" s="23"/>
      <c r="F60" s="11"/>
      <c r="G60" s="28"/>
      <c r="H60" s="12"/>
      <c r="I60" s="9"/>
      <c r="J60" s="10"/>
      <c r="K60" s="13"/>
    </row>
    <row r="61" spans="1:11" ht="69.95" hidden="1" customHeight="1" x14ac:dyDescent="0.25">
      <c r="A61" s="9"/>
      <c r="B61" s="20" t="str">
        <f>IF(ISNA(VLOOKUP(A61,Settings!$A$2:$B$11,2,FALSE)),"",VLOOKUP(A61,Settings!$A$2:$B$11,2,FALSE))</f>
        <v/>
      </c>
      <c r="C61" s="10"/>
      <c r="D61" s="23"/>
      <c r="E61" s="23"/>
      <c r="F61" s="11"/>
      <c r="G61" s="28"/>
      <c r="H61" s="12"/>
      <c r="I61" s="9"/>
      <c r="J61" s="10"/>
      <c r="K61" s="13"/>
    </row>
    <row r="62" spans="1:11" ht="69.95" hidden="1" customHeight="1" x14ac:dyDescent="0.25">
      <c r="A62" s="9"/>
      <c r="B62" s="20" t="str">
        <f>IF(ISNA(VLOOKUP(A62,Settings!$A$2:$B$11,2,FALSE)),"",VLOOKUP(A62,Settings!$A$2:$B$11,2,FALSE))</f>
        <v/>
      </c>
      <c r="C62" s="10"/>
      <c r="D62" s="23"/>
      <c r="E62" s="23"/>
      <c r="F62" s="11"/>
      <c r="G62" s="28"/>
      <c r="H62" s="12"/>
      <c r="I62" s="9"/>
      <c r="J62" s="10"/>
      <c r="K62" s="13"/>
    </row>
    <row r="63" spans="1:11" ht="69.95" hidden="1" customHeight="1" x14ac:dyDescent="0.25">
      <c r="A63" s="9"/>
      <c r="B63" s="20" t="str">
        <f>IF(ISNA(VLOOKUP(A63,Settings!$A$2:$B$11,2,FALSE)),"",VLOOKUP(A63,Settings!$A$2:$B$11,2,FALSE))</f>
        <v/>
      </c>
      <c r="C63" s="10"/>
      <c r="D63" s="23"/>
      <c r="E63" s="23"/>
      <c r="F63" s="11"/>
      <c r="G63" s="28"/>
      <c r="H63" s="12"/>
      <c r="I63" s="9"/>
      <c r="J63" s="10"/>
      <c r="K63" s="13"/>
    </row>
    <row r="64" spans="1:11" ht="69.95" hidden="1" customHeight="1" x14ac:dyDescent="0.25">
      <c r="A64" s="9"/>
      <c r="B64" s="20" t="str">
        <f>IF(ISNA(VLOOKUP(A64,Settings!$A$2:$B$11,2,FALSE)),"",VLOOKUP(A64,Settings!$A$2:$B$11,2,FALSE))</f>
        <v/>
      </c>
      <c r="C64" s="10"/>
      <c r="D64" s="23"/>
      <c r="E64" s="23"/>
      <c r="F64" s="11"/>
      <c r="G64" s="28"/>
      <c r="H64" s="12"/>
      <c r="I64" s="9"/>
      <c r="J64" s="10"/>
      <c r="K64" s="13"/>
    </row>
    <row r="65" spans="1:11" ht="69.95" hidden="1" customHeight="1" x14ac:dyDescent="0.25">
      <c r="A65" s="9"/>
      <c r="B65" s="20" t="str">
        <f>IF(ISNA(VLOOKUP(A65,Settings!$A$2:$B$11,2,FALSE)),"",VLOOKUP(A65,Settings!$A$2:$B$11,2,FALSE))</f>
        <v/>
      </c>
      <c r="C65" s="10"/>
      <c r="D65" s="23"/>
      <c r="E65" s="23"/>
      <c r="F65" s="11"/>
      <c r="G65" s="28"/>
      <c r="H65" s="12"/>
      <c r="I65" s="9"/>
      <c r="J65" s="10"/>
      <c r="K65" s="13"/>
    </row>
    <row r="66" spans="1:11" ht="69.95" hidden="1" customHeight="1" x14ac:dyDescent="0.25">
      <c r="A66" s="9"/>
      <c r="B66" s="20" t="str">
        <f>IF(ISNA(VLOOKUP(A66,Settings!$A$2:$B$11,2,FALSE)),"",VLOOKUP(A66,Settings!$A$2:$B$11,2,FALSE))</f>
        <v/>
      </c>
      <c r="C66" s="10"/>
      <c r="D66" s="23"/>
      <c r="E66" s="23"/>
      <c r="F66" s="11"/>
      <c r="G66" s="28"/>
      <c r="H66" s="12"/>
      <c r="I66" s="9"/>
      <c r="J66" s="10"/>
      <c r="K66" s="13"/>
    </row>
    <row r="67" spans="1:11" ht="69.95" hidden="1" customHeight="1" x14ac:dyDescent="0.25">
      <c r="A67" s="9"/>
      <c r="B67" s="20" t="str">
        <f>IF(ISNA(VLOOKUP(A67,Settings!$A$2:$B$11,2,FALSE)),"",VLOOKUP(A67,Settings!$A$2:$B$11,2,FALSE))</f>
        <v/>
      </c>
      <c r="C67" s="10"/>
      <c r="D67" s="23"/>
      <c r="E67" s="23"/>
      <c r="F67" s="11"/>
      <c r="G67" s="28"/>
      <c r="H67" s="12"/>
      <c r="I67" s="9"/>
      <c r="J67" s="10"/>
      <c r="K67" s="13"/>
    </row>
    <row r="68" spans="1:11" ht="69.95" hidden="1" customHeight="1" x14ac:dyDescent="0.25">
      <c r="A68" s="9"/>
      <c r="B68" s="20" t="str">
        <f>IF(ISNA(VLOOKUP(A68,Settings!$A$2:$B$11,2,FALSE)),"",VLOOKUP(A68,Settings!$A$2:$B$11,2,FALSE))</f>
        <v/>
      </c>
      <c r="C68" s="10"/>
      <c r="D68" s="23"/>
      <c r="E68" s="23"/>
      <c r="F68" s="11"/>
      <c r="G68" s="28"/>
      <c r="H68" s="12"/>
      <c r="I68" s="9"/>
      <c r="J68" s="10"/>
      <c r="K68" s="13"/>
    </row>
    <row r="69" spans="1:11" ht="69.95" hidden="1" customHeight="1" x14ac:dyDescent="0.25">
      <c r="A69" s="9"/>
      <c r="B69" s="20" t="str">
        <f>IF(ISNA(VLOOKUP(A69,Settings!$A$2:$B$11,2,FALSE)),"",VLOOKUP(A69,Settings!$A$2:$B$11,2,FALSE))</f>
        <v/>
      </c>
      <c r="C69" s="10"/>
      <c r="D69" s="23"/>
      <c r="E69" s="23"/>
      <c r="F69" s="11"/>
      <c r="G69" s="28"/>
      <c r="H69" s="12"/>
      <c r="I69" s="9"/>
      <c r="J69" s="10"/>
      <c r="K69" s="13"/>
    </row>
    <row r="70" spans="1:11" ht="69.95" hidden="1" customHeight="1" x14ac:dyDescent="0.25">
      <c r="A70" s="9"/>
      <c r="B70" s="20" t="str">
        <f>IF(ISNA(VLOOKUP(A70,Settings!$A$2:$B$11,2,FALSE)),"",VLOOKUP(A70,Settings!$A$2:$B$11,2,FALSE))</f>
        <v/>
      </c>
      <c r="C70" s="10"/>
      <c r="D70" s="23"/>
      <c r="E70" s="23"/>
      <c r="F70" s="11"/>
      <c r="G70" s="28"/>
      <c r="H70" s="12"/>
      <c r="I70" s="9"/>
      <c r="J70" s="10"/>
      <c r="K70" s="13"/>
    </row>
    <row r="71" spans="1:11" ht="69.95" hidden="1" customHeight="1" x14ac:dyDescent="0.25">
      <c r="A71" s="9"/>
      <c r="B71" s="20" t="str">
        <f>IF(ISNA(VLOOKUP(A71,Settings!$A$2:$B$11,2,FALSE)),"",VLOOKUP(A71,Settings!$A$2:$B$11,2,FALSE))</f>
        <v/>
      </c>
      <c r="C71" s="10"/>
      <c r="D71" s="23"/>
      <c r="E71" s="23"/>
      <c r="F71" s="11"/>
      <c r="G71" s="28"/>
      <c r="H71" s="12"/>
      <c r="I71" s="9"/>
      <c r="J71" s="10"/>
      <c r="K71" s="13"/>
    </row>
    <row r="72" spans="1:11" ht="69.95" hidden="1" customHeight="1" x14ac:dyDescent="0.25">
      <c r="A72" s="9"/>
      <c r="B72" s="20" t="str">
        <f>IF(ISNA(VLOOKUP(A72,Settings!$A$2:$B$11,2,FALSE)),"",VLOOKUP(A72,Settings!$A$2:$B$11,2,FALSE))</f>
        <v/>
      </c>
      <c r="C72" s="10"/>
      <c r="D72" s="23"/>
      <c r="E72" s="23"/>
      <c r="F72" s="11"/>
      <c r="G72" s="28"/>
      <c r="H72" s="12"/>
      <c r="I72" s="9"/>
      <c r="J72" s="10"/>
      <c r="K72" s="13"/>
    </row>
    <row r="73" spans="1:11" ht="69.95" hidden="1" customHeight="1" x14ac:dyDescent="0.25">
      <c r="A73" s="9"/>
      <c r="B73" s="20" t="str">
        <f>IF(ISNA(VLOOKUP(A73,Settings!$A$2:$B$11,2,FALSE)),"",VLOOKUP(A73,Settings!$A$2:$B$11,2,FALSE))</f>
        <v/>
      </c>
      <c r="C73" s="10"/>
      <c r="D73" s="23"/>
      <c r="E73" s="23"/>
      <c r="F73" s="11"/>
      <c r="G73" s="28"/>
      <c r="H73" s="12"/>
      <c r="I73" s="9"/>
      <c r="J73" s="10"/>
      <c r="K73" s="13"/>
    </row>
    <row r="74" spans="1:11" ht="69.95" hidden="1" customHeight="1" x14ac:dyDescent="0.25">
      <c r="A74" s="9"/>
      <c r="B74" s="20" t="str">
        <f>IF(ISNA(VLOOKUP(A74,Settings!$A$2:$B$11,2,FALSE)),"",VLOOKUP(A74,Settings!$A$2:$B$11,2,FALSE))</f>
        <v/>
      </c>
      <c r="C74" s="10"/>
      <c r="D74" s="23"/>
      <c r="E74" s="23"/>
      <c r="F74" s="11"/>
      <c r="G74" s="28"/>
      <c r="H74" s="12"/>
      <c r="I74" s="9"/>
      <c r="J74" s="10"/>
      <c r="K74" s="13"/>
    </row>
    <row r="75" spans="1:11" ht="69.95" hidden="1" customHeight="1" x14ac:dyDescent="0.25">
      <c r="A75" s="9"/>
      <c r="B75" s="20" t="str">
        <f>IF(ISNA(VLOOKUP(A75,Settings!$A$2:$B$11,2,FALSE)),"",VLOOKUP(A75,Settings!$A$2:$B$11,2,FALSE))</f>
        <v/>
      </c>
      <c r="C75" s="10"/>
      <c r="D75" s="23"/>
      <c r="E75" s="23"/>
      <c r="F75" s="11"/>
      <c r="G75" s="28"/>
      <c r="H75" s="12"/>
      <c r="I75" s="9"/>
      <c r="J75" s="10"/>
      <c r="K75" s="13"/>
    </row>
    <row r="76" spans="1:11" ht="69.95" hidden="1" customHeight="1" x14ac:dyDescent="0.25">
      <c r="A76" s="9"/>
      <c r="B76" s="20" t="str">
        <f>IF(ISNA(VLOOKUP(A76,Settings!$A$2:$B$11,2,FALSE)),"",VLOOKUP(A76,Settings!$A$2:$B$11,2,FALSE))</f>
        <v/>
      </c>
      <c r="C76" s="10"/>
      <c r="D76" s="23"/>
      <c r="E76" s="23"/>
      <c r="F76" s="11"/>
      <c r="G76" s="28"/>
      <c r="H76" s="12"/>
      <c r="I76" s="9"/>
      <c r="J76" s="10"/>
      <c r="K76" s="13"/>
    </row>
    <row r="77" spans="1:11" ht="69.95" hidden="1" customHeight="1" x14ac:dyDescent="0.25">
      <c r="A77" s="9"/>
      <c r="B77" s="20" t="str">
        <f>IF(ISNA(VLOOKUP(A77,Settings!$A$2:$B$11,2,FALSE)),"",VLOOKUP(A77,Settings!$A$2:$B$11,2,FALSE))</f>
        <v/>
      </c>
      <c r="C77" s="10"/>
      <c r="D77" s="23"/>
      <c r="E77" s="23"/>
      <c r="F77" s="11"/>
      <c r="G77" s="28"/>
      <c r="H77" s="12"/>
      <c r="I77" s="9"/>
      <c r="J77" s="10"/>
      <c r="K77" s="13"/>
    </row>
    <row r="78" spans="1:11" ht="69.95" hidden="1" customHeight="1" x14ac:dyDescent="0.25">
      <c r="A78" s="9"/>
      <c r="B78" s="20" t="str">
        <f>IF(ISNA(VLOOKUP(A78,Settings!$A$2:$B$11,2,FALSE)),"",VLOOKUP(A78,Settings!$A$2:$B$11,2,FALSE))</f>
        <v/>
      </c>
      <c r="C78" s="10"/>
      <c r="D78" s="23"/>
      <c r="E78" s="23"/>
      <c r="F78" s="11"/>
      <c r="G78" s="28"/>
      <c r="H78" s="12"/>
      <c r="I78" s="9"/>
      <c r="J78" s="10"/>
      <c r="K78" s="13"/>
    </row>
    <row r="79" spans="1:11" ht="69.95" hidden="1" customHeight="1" x14ac:dyDescent="0.25">
      <c r="A79" s="9"/>
      <c r="B79" s="20" t="str">
        <f>IF(ISNA(VLOOKUP(A79,Settings!$A$2:$B$11,2,FALSE)),"",VLOOKUP(A79,Settings!$A$2:$B$11,2,FALSE))</f>
        <v/>
      </c>
      <c r="C79" s="10"/>
      <c r="D79" s="23"/>
      <c r="E79" s="23"/>
      <c r="F79" s="11"/>
      <c r="G79" s="28"/>
      <c r="H79" s="12"/>
      <c r="I79" s="9"/>
      <c r="J79" s="10"/>
      <c r="K79" s="13"/>
    </row>
    <row r="80" spans="1:11" ht="69.95" hidden="1" customHeight="1" x14ac:dyDescent="0.25">
      <c r="A80" s="9"/>
      <c r="B80" s="20" t="str">
        <f>IF(ISNA(VLOOKUP(A80,Settings!$A$2:$B$11,2,FALSE)),"",VLOOKUP(A80,Settings!$A$2:$B$11,2,FALSE))</f>
        <v/>
      </c>
      <c r="C80" s="10"/>
      <c r="D80" s="23"/>
      <c r="E80" s="23"/>
      <c r="F80" s="11"/>
      <c r="G80" s="28"/>
      <c r="H80" s="12"/>
      <c r="I80" s="9"/>
      <c r="J80" s="10"/>
      <c r="K80" s="13"/>
    </row>
    <row r="81" spans="1:11" ht="69.95" hidden="1" customHeight="1" x14ac:dyDescent="0.25">
      <c r="A81" s="9"/>
      <c r="B81" s="20" t="str">
        <f>IF(ISNA(VLOOKUP(A81,Settings!$A$2:$B$11,2,FALSE)),"",VLOOKUP(A81,Settings!$A$2:$B$11,2,FALSE))</f>
        <v/>
      </c>
      <c r="C81" s="10"/>
      <c r="D81" s="23"/>
      <c r="E81" s="23"/>
      <c r="F81" s="11"/>
      <c r="G81" s="28"/>
      <c r="H81" s="12"/>
      <c r="I81" s="9"/>
      <c r="J81" s="10"/>
      <c r="K81" s="13"/>
    </row>
    <row r="82" spans="1:11" ht="69.95" hidden="1" customHeight="1" x14ac:dyDescent="0.25">
      <c r="A82" s="9"/>
      <c r="B82" s="20" t="str">
        <f>IF(ISNA(VLOOKUP(A82,Settings!$A$2:$B$11,2,FALSE)),"",VLOOKUP(A82,Settings!$A$2:$B$11,2,FALSE))</f>
        <v/>
      </c>
      <c r="C82" s="10"/>
      <c r="D82" s="23"/>
      <c r="E82" s="23"/>
      <c r="F82" s="11"/>
      <c r="G82" s="28"/>
      <c r="H82" s="12"/>
      <c r="I82" s="9"/>
      <c r="J82" s="10"/>
      <c r="K82" s="13"/>
    </row>
    <row r="83" spans="1:11" ht="69.95" hidden="1" customHeight="1" x14ac:dyDescent="0.25">
      <c r="A83" s="9"/>
      <c r="B83" s="20" t="str">
        <f>IF(ISNA(VLOOKUP(A83,Settings!$A$2:$B$11,2,FALSE)),"",VLOOKUP(A83,Settings!$A$2:$B$11,2,FALSE))</f>
        <v/>
      </c>
      <c r="C83" s="10"/>
      <c r="D83" s="23"/>
      <c r="E83" s="23"/>
      <c r="F83" s="11"/>
      <c r="G83" s="28"/>
      <c r="H83" s="12"/>
      <c r="I83" s="9"/>
      <c r="J83" s="10"/>
      <c r="K83" s="13"/>
    </row>
    <row r="84" spans="1:11" ht="69.95" hidden="1" customHeight="1" x14ac:dyDescent="0.25">
      <c r="A84" s="9"/>
      <c r="B84" s="20" t="str">
        <f>IF(ISNA(VLOOKUP(A84,Settings!$A$2:$B$11,2,FALSE)),"",VLOOKUP(A84,Settings!$A$2:$B$11,2,FALSE))</f>
        <v/>
      </c>
      <c r="C84" s="10"/>
      <c r="D84" s="23"/>
      <c r="E84" s="23"/>
      <c r="F84" s="11"/>
      <c r="G84" s="28"/>
      <c r="H84" s="12"/>
      <c r="I84" s="9"/>
      <c r="J84" s="10"/>
      <c r="K84" s="13"/>
    </row>
    <row r="85" spans="1:11" ht="69.95" hidden="1" customHeight="1" x14ac:dyDescent="0.25">
      <c r="A85" s="9"/>
      <c r="B85" s="20" t="str">
        <f>IF(ISNA(VLOOKUP(A85,Settings!$A$2:$B$11,2,FALSE)),"",VLOOKUP(A85,Settings!$A$2:$B$11,2,FALSE))</f>
        <v/>
      </c>
      <c r="C85" s="10"/>
      <c r="D85" s="23"/>
      <c r="E85" s="23"/>
      <c r="F85" s="11"/>
      <c r="G85" s="28"/>
      <c r="H85" s="12"/>
      <c r="I85" s="9"/>
      <c r="J85" s="10"/>
      <c r="K85" s="13"/>
    </row>
    <row r="86" spans="1:11" ht="69.95" hidden="1" customHeight="1" x14ac:dyDescent="0.25">
      <c r="A86" s="9"/>
      <c r="B86" s="20" t="str">
        <f>IF(ISNA(VLOOKUP(A86,Settings!$A$2:$B$11,2,FALSE)),"",VLOOKUP(A86,Settings!$A$2:$B$11,2,FALSE))</f>
        <v/>
      </c>
      <c r="C86" s="10"/>
      <c r="D86" s="23"/>
      <c r="E86" s="23"/>
      <c r="F86" s="11"/>
      <c r="G86" s="28"/>
      <c r="H86" s="12"/>
      <c r="I86" s="9"/>
      <c r="J86" s="10"/>
      <c r="K86" s="13"/>
    </row>
    <row r="87" spans="1:11" ht="69.95" hidden="1" customHeight="1" x14ac:dyDescent="0.25">
      <c r="A87" s="9"/>
      <c r="B87" s="20" t="str">
        <f>IF(ISNA(VLOOKUP(A87,Settings!$A$2:$B$11,2,FALSE)),"",VLOOKUP(A87,Settings!$A$2:$B$11,2,FALSE))</f>
        <v/>
      </c>
      <c r="C87" s="10"/>
      <c r="D87" s="23"/>
      <c r="E87" s="23"/>
      <c r="F87" s="11"/>
      <c r="G87" s="28"/>
      <c r="H87" s="12"/>
      <c r="I87" s="9"/>
      <c r="J87" s="10"/>
      <c r="K87" s="13"/>
    </row>
    <row r="88" spans="1:11" ht="69.95" hidden="1" customHeight="1" x14ac:dyDescent="0.25">
      <c r="A88" s="9"/>
      <c r="B88" s="20" t="str">
        <f>IF(ISNA(VLOOKUP(A88,Settings!$A$2:$B$11,2,FALSE)),"",VLOOKUP(A88,Settings!$A$2:$B$11,2,FALSE))</f>
        <v/>
      </c>
      <c r="C88" s="10"/>
      <c r="D88" s="23"/>
      <c r="E88" s="23"/>
      <c r="F88" s="11"/>
      <c r="G88" s="28"/>
      <c r="H88" s="12"/>
      <c r="I88" s="9"/>
      <c r="J88" s="10"/>
      <c r="K88" s="13"/>
    </row>
    <row r="89" spans="1:11" ht="69.95" hidden="1" customHeight="1" x14ac:dyDescent="0.25">
      <c r="A89" s="9"/>
      <c r="B89" s="20" t="str">
        <f>IF(ISNA(VLOOKUP(A89,Settings!$A$2:$B$11,2,FALSE)),"",VLOOKUP(A89,Settings!$A$2:$B$11,2,FALSE))</f>
        <v/>
      </c>
      <c r="C89" s="10"/>
      <c r="D89" s="23"/>
      <c r="E89" s="23"/>
      <c r="F89" s="11"/>
      <c r="G89" s="28"/>
      <c r="H89" s="12"/>
      <c r="I89" s="9"/>
      <c r="J89" s="10"/>
      <c r="K89" s="13"/>
    </row>
    <row r="90" spans="1:11" ht="69.95" hidden="1" customHeight="1" x14ac:dyDescent="0.25">
      <c r="A90" s="9"/>
      <c r="B90" s="20" t="str">
        <f>IF(ISNA(VLOOKUP(A90,Settings!$A$2:$B$11,2,FALSE)),"",VLOOKUP(A90,Settings!$A$2:$B$11,2,FALSE))</f>
        <v/>
      </c>
      <c r="C90" s="10"/>
      <c r="D90" s="23"/>
      <c r="E90" s="23"/>
      <c r="F90" s="11"/>
      <c r="G90" s="28"/>
      <c r="H90" s="12"/>
      <c r="I90" s="9"/>
      <c r="J90" s="10"/>
      <c r="K90" s="13"/>
    </row>
    <row r="91" spans="1:11" ht="69.95" hidden="1" customHeight="1" x14ac:dyDescent="0.25">
      <c r="A91" s="9"/>
      <c r="B91" s="20" t="str">
        <f>IF(ISNA(VLOOKUP(A91,Settings!$A$2:$B$11,2,FALSE)),"",VLOOKUP(A91,Settings!$A$2:$B$11,2,FALSE))</f>
        <v/>
      </c>
      <c r="C91" s="10"/>
      <c r="D91" s="23"/>
      <c r="E91" s="23"/>
      <c r="F91" s="11"/>
      <c r="G91" s="28"/>
      <c r="H91" s="12"/>
      <c r="I91" s="9"/>
      <c r="J91" s="10"/>
      <c r="K91" s="13"/>
    </row>
    <row r="92" spans="1:11" ht="69.95" hidden="1" customHeight="1" x14ac:dyDescent="0.25">
      <c r="A92" s="9"/>
      <c r="B92" s="20" t="str">
        <f>IF(ISNA(VLOOKUP(A92,Settings!$A$2:$B$11,2,FALSE)),"",VLOOKUP(A92,Settings!$A$2:$B$11,2,FALSE))</f>
        <v/>
      </c>
      <c r="C92" s="10"/>
      <c r="D92" s="23"/>
      <c r="E92" s="23"/>
      <c r="F92" s="11"/>
      <c r="G92" s="28"/>
      <c r="H92" s="12"/>
      <c r="I92" s="9"/>
      <c r="J92" s="10"/>
      <c r="K92" s="13"/>
    </row>
    <row r="93" spans="1:11" ht="69.95" hidden="1" customHeight="1" x14ac:dyDescent="0.25">
      <c r="A93" s="9"/>
      <c r="B93" s="20" t="str">
        <f>IF(ISNA(VLOOKUP(A93,Settings!$A$2:$B$11,2,FALSE)),"",VLOOKUP(A93,Settings!$A$2:$B$11,2,FALSE))</f>
        <v/>
      </c>
      <c r="C93" s="10"/>
      <c r="D93" s="23"/>
      <c r="E93" s="23"/>
      <c r="F93" s="11"/>
      <c r="G93" s="28"/>
      <c r="H93" s="12"/>
      <c r="I93" s="9"/>
      <c r="J93" s="10"/>
      <c r="K93" s="13"/>
    </row>
    <row r="94" spans="1:11" ht="69.95" hidden="1" customHeight="1" x14ac:dyDescent="0.25">
      <c r="A94" s="9"/>
      <c r="B94" s="20" t="str">
        <f>IF(ISNA(VLOOKUP(A94,Settings!$A$2:$B$11,2,FALSE)),"",VLOOKUP(A94,Settings!$A$2:$B$11,2,FALSE))</f>
        <v/>
      </c>
      <c r="C94" s="10"/>
      <c r="D94" s="23"/>
      <c r="E94" s="23"/>
      <c r="F94" s="11"/>
      <c r="G94" s="28"/>
      <c r="H94" s="12"/>
      <c r="I94" s="9"/>
      <c r="J94" s="10"/>
      <c r="K94" s="13"/>
    </row>
    <row r="95" spans="1:11" ht="69.95" hidden="1" customHeight="1" x14ac:dyDescent="0.25">
      <c r="A95" s="9"/>
      <c r="B95" s="20" t="str">
        <f>IF(ISNA(VLOOKUP(A95,Settings!$A$2:$B$11,2,FALSE)),"",VLOOKUP(A95,Settings!$A$2:$B$11,2,FALSE))</f>
        <v/>
      </c>
      <c r="C95" s="10"/>
      <c r="D95" s="23"/>
      <c r="E95" s="23"/>
      <c r="F95" s="11"/>
      <c r="G95" s="28"/>
      <c r="H95" s="12"/>
      <c r="I95" s="9"/>
      <c r="J95" s="10"/>
      <c r="K95" s="13"/>
    </row>
    <row r="96" spans="1:11" ht="69.95" hidden="1" customHeight="1" x14ac:dyDescent="0.25">
      <c r="A96" s="9"/>
      <c r="B96" s="20" t="str">
        <f>IF(ISNA(VLOOKUP(A96,Settings!$A$2:$B$11,2,FALSE)),"",VLOOKUP(A96,Settings!$A$2:$B$11,2,FALSE))</f>
        <v/>
      </c>
      <c r="C96" s="10"/>
      <c r="D96" s="23"/>
      <c r="E96" s="23"/>
      <c r="F96" s="11"/>
      <c r="G96" s="28"/>
      <c r="H96" s="12"/>
      <c r="I96" s="9"/>
      <c r="J96" s="10"/>
      <c r="K96" s="13"/>
    </row>
    <row r="97" spans="1:11" ht="69.95" hidden="1" customHeight="1" x14ac:dyDescent="0.25">
      <c r="A97" s="9"/>
      <c r="B97" s="20" t="str">
        <f>IF(ISNA(VLOOKUP(A97,Settings!$A$2:$B$11,2,FALSE)),"",VLOOKUP(A97,Settings!$A$2:$B$11,2,FALSE))</f>
        <v/>
      </c>
      <c r="C97" s="10"/>
      <c r="D97" s="23"/>
      <c r="E97" s="23"/>
      <c r="F97" s="11"/>
      <c r="G97" s="28"/>
      <c r="H97" s="12"/>
      <c r="I97" s="9"/>
      <c r="J97" s="10"/>
      <c r="K97" s="13"/>
    </row>
    <row r="98" spans="1:11" ht="69.95" hidden="1" customHeight="1" x14ac:dyDescent="0.25">
      <c r="A98" s="9"/>
      <c r="B98" s="20" t="str">
        <f>IF(ISNA(VLOOKUP(A98,Settings!$A$2:$B$11,2,FALSE)),"",VLOOKUP(A98,Settings!$A$2:$B$11,2,FALSE))</f>
        <v/>
      </c>
      <c r="C98" s="10"/>
      <c r="D98" s="23"/>
      <c r="E98" s="23"/>
      <c r="F98" s="11"/>
      <c r="G98" s="28"/>
      <c r="H98" s="12"/>
      <c r="I98" s="9"/>
      <c r="J98" s="10"/>
      <c r="K98" s="13"/>
    </row>
    <row r="99" spans="1:11" ht="69.95" hidden="1" customHeight="1" x14ac:dyDescent="0.25">
      <c r="A99" s="9"/>
      <c r="B99" s="20" t="str">
        <f>IF(ISNA(VLOOKUP(A99,Settings!$A$2:$B$11,2,FALSE)),"",VLOOKUP(A99,Settings!$A$2:$B$11,2,FALSE))</f>
        <v/>
      </c>
      <c r="C99" s="10"/>
      <c r="D99" s="23"/>
      <c r="E99" s="23"/>
      <c r="F99" s="11"/>
      <c r="G99" s="28"/>
      <c r="H99" s="12"/>
      <c r="I99" s="9"/>
      <c r="J99" s="10"/>
      <c r="K99" s="13"/>
    </row>
    <row r="100" spans="1:11" ht="69.95" hidden="1" customHeight="1" x14ac:dyDescent="0.25">
      <c r="A100" s="9"/>
      <c r="B100" s="20" t="str">
        <f>IF(ISNA(VLOOKUP(A100,Settings!$A$2:$B$11,2,FALSE)),"",VLOOKUP(A100,Settings!$A$2:$B$11,2,FALSE))</f>
        <v/>
      </c>
      <c r="C100" s="10"/>
      <c r="D100" s="23"/>
      <c r="E100" s="23"/>
      <c r="F100" s="11"/>
      <c r="G100" s="28"/>
      <c r="H100" s="12"/>
      <c r="I100" s="9"/>
      <c r="J100" s="10"/>
      <c r="K100" s="13"/>
    </row>
    <row r="101" spans="1:11" ht="69.95" hidden="1" customHeight="1" x14ac:dyDescent="0.25">
      <c r="A101" s="9"/>
      <c r="B101" s="20" t="str">
        <f>IF(ISNA(VLOOKUP(A101,Settings!$A$2:$B$11,2,FALSE)),"",VLOOKUP(A101,Settings!$A$2:$B$11,2,FALSE))</f>
        <v/>
      </c>
      <c r="C101" s="10"/>
      <c r="D101" s="23"/>
      <c r="E101" s="23"/>
      <c r="F101" s="11"/>
      <c r="G101" s="28"/>
      <c r="H101" s="12"/>
      <c r="I101" s="9"/>
      <c r="J101" s="10"/>
      <c r="K101" s="13"/>
    </row>
    <row r="102" spans="1:11" ht="69.95" hidden="1" customHeight="1" x14ac:dyDescent="0.25">
      <c r="A102" s="9"/>
      <c r="B102" s="20" t="str">
        <f>IF(ISNA(VLOOKUP(A102,Settings!$A$2:$B$11,2,FALSE)),"",VLOOKUP(A102,Settings!$A$2:$B$11,2,FALSE))</f>
        <v/>
      </c>
      <c r="C102" s="10"/>
      <c r="D102" s="23"/>
      <c r="E102" s="23"/>
      <c r="F102" s="11"/>
      <c r="G102" s="28"/>
      <c r="H102" s="12"/>
      <c r="I102" s="9"/>
      <c r="J102" s="10"/>
      <c r="K102" s="13"/>
    </row>
    <row r="103" spans="1:11" ht="69.95" hidden="1" customHeight="1" x14ac:dyDescent="0.25">
      <c r="A103" s="9"/>
      <c r="B103" s="20" t="str">
        <f>IF(ISNA(VLOOKUP(A103,Settings!$A$2:$B$11,2,FALSE)),"",VLOOKUP(A103,Settings!$A$2:$B$11,2,FALSE))</f>
        <v/>
      </c>
      <c r="C103" s="10"/>
      <c r="D103" s="23"/>
      <c r="E103" s="23"/>
      <c r="F103" s="11"/>
      <c r="G103" s="28"/>
      <c r="H103" s="12"/>
      <c r="I103" s="9"/>
      <c r="J103" s="10"/>
      <c r="K103" s="13"/>
    </row>
    <row r="104" spans="1:11" ht="69.95" hidden="1" customHeight="1" x14ac:dyDescent="0.25">
      <c r="A104" s="9"/>
      <c r="B104" s="20" t="str">
        <f>IF(ISNA(VLOOKUP(A104,Settings!$A$2:$B$11,2,FALSE)),"",VLOOKUP(A104,Settings!$A$2:$B$11,2,FALSE))</f>
        <v/>
      </c>
      <c r="C104" s="10"/>
      <c r="D104" s="23"/>
      <c r="E104" s="23"/>
      <c r="F104" s="11"/>
      <c r="G104" s="28"/>
      <c r="H104" s="12"/>
      <c r="I104" s="9"/>
      <c r="J104" s="10"/>
      <c r="K104" s="13"/>
    </row>
    <row r="105" spans="1:11" ht="69.95" hidden="1" customHeight="1" x14ac:dyDescent="0.25">
      <c r="A105" s="9"/>
      <c r="B105" s="20" t="str">
        <f>IF(ISNA(VLOOKUP(A105,Settings!$A$2:$B$11,2,FALSE)),"",VLOOKUP(A105,Settings!$A$2:$B$11,2,FALSE))</f>
        <v/>
      </c>
      <c r="C105" s="10"/>
      <c r="D105" s="23"/>
      <c r="E105" s="23"/>
      <c r="F105" s="11"/>
      <c r="G105" s="28"/>
      <c r="H105" s="12"/>
      <c r="I105" s="9"/>
      <c r="J105" s="10"/>
      <c r="K105" s="13"/>
    </row>
    <row r="106" spans="1:11" ht="69.95" hidden="1" customHeight="1" x14ac:dyDescent="0.25">
      <c r="A106" s="9"/>
      <c r="B106" s="20" t="str">
        <f>IF(ISNA(VLOOKUP(A106,Settings!$A$2:$B$11,2,FALSE)),"",VLOOKUP(A106,Settings!$A$2:$B$11,2,FALSE))</f>
        <v/>
      </c>
      <c r="C106" s="10"/>
      <c r="D106" s="23"/>
      <c r="E106" s="23"/>
      <c r="F106" s="11"/>
      <c r="G106" s="28"/>
      <c r="H106" s="12"/>
      <c r="I106" s="9"/>
      <c r="J106" s="10"/>
      <c r="K106" s="13"/>
    </row>
    <row r="107" spans="1:11" ht="69.95" hidden="1" customHeight="1" x14ac:dyDescent="0.25">
      <c r="A107" s="9"/>
      <c r="B107" s="20" t="str">
        <f>IF(ISNA(VLOOKUP(A107,Settings!$A$2:$B$11,2,FALSE)),"",VLOOKUP(A107,Settings!$A$2:$B$11,2,FALSE))</f>
        <v/>
      </c>
      <c r="C107" s="10"/>
      <c r="D107" s="23"/>
      <c r="E107" s="23"/>
      <c r="F107" s="11"/>
      <c r="G107" s="28"/>
      <c r="H107" s="12"/>
      <c r="I107" s="9"/>
      <c r="J107" s="10"/>
      <c r="K107" s="13"/>
    </row>
    <row r="108" spans="1:11" ht="69.95" hidden="1" customHeight="1" x14ac:dyDescent="0.25">
      <c r="A108" s="9"/>
      <c r="B108" s="20" t="str">
        <f>IF(ISNA(VLOOKUP(A108,Settings!$A$2:$B$11,2,FALSE)),"",VLOOKUP(A108,Settings!$A$2:$B$11,2,FALSE))</f>
        <v/>
      </c>
      <c r="C108" s="10"/>
      <c r="D108" s="23"/>
      <c r="E108" s="23"/>
      <c r="F108" s="11"/>
      <c r="G108" s="28"/>
      <c r="H108" s="12"/>
      <c r="I108" s="9"/>
      <c r="J108" s="10"/>
      <c r="K108" s="13"/>
    </row>
    <row r="109" spans="1:11" ht="69.95" hidden="1" customHeight="1" x14ac:dyDescent="0.25">
      <c r="A109" s="9"/>
      <c r="B109" s="20" t="str">
        <f>IF(ISNA(VLOOKUP(A109,Settings!$A$2:$B$11,2,FALSE)),"",VLOOKUP(A109,Settings!$A$2:$B$11,2,FALSE))</f>
        <v/>
      </c>
      <c r="C109" s="10"/>
      <c r="D109" s="23"/>
      <c r="E109" s="23"/>
      <c r="F109" s="11"/>
      <c r="G109" s="28"/>
      <c r="H109" s="12"/>
      <c r="I109" s="9"/>
      <c r="J109" s="10"/>
      <c r="K109" s="13"/>
    </row>
    <row r="110" spans="1:11" ht="69.95" hidden="1" customHeight="1" x14ac:dyDescent="0.25">
      <c r="A110" s="9"/>
      <c r="B110" s="20" t="str">
        <f>IF(ISNA(VLOOKUP(A110,Settings!$A$2:$B$11,2,FALSE)),"",VLOOKUP(A110,Settings!$A$2:$B$11,2,FALSE))</f>
        <v/>
      </c>
      <c r="C110" s="10"/>
      <c r="D110" s="23"/>
      <c r="E110" s="23"/>
      <c r="F110" s="11"/>
      <c r="G110" s="28"/>
      <c r="H110" s="12"/>
      <c r="I110" s="9"/>
      <c r="J110" s="10"/>
      <c r="K110" s="13"/>
    </row>
    <row r="111" spans="1:11" ht="69.95" hidden="1" customHeight="1" x14ac:dyDescent="0.25">
      <c r="A111" s="9"/>
      <c r="B111" s="20" t="str">
        <f>IF(ISNA(VLOOKUP(A111,Settings!$A$2:$B$11,2,FALSE)),"",VLOOKUP(A111,Settings!$A$2:$B$11,2,FALSE))</f>
        <v/>
      </c>
      <c r="C111" s="10"/>
      <c r="D111" s="23"/>
      <c r="E111" s="23"/>
      <c r="F111" s="11"/>
      <c r="G111" s="28"/>
      <c r="H111" s="12"/>
      <c r="I111" s="9"/>
      <c r="J111" s="10"/>
      <c r="K111" s="13"/>
    </row>
    <row r="112" spans="1:11" ht="69.95" hidden="1" customHeight="1" x14ac:dyDescent="0.25">
      <c r="A112" s="9"/>
      <c r="B112" s="20" t="str">
        <f>IF(ISNA(VLOOKUP(A112,Settings!$A$2:$B$11,2,FALSE)),"",VLOOKUP(A112,Settings!$A$2:$B$11,2,FALSE))</f>
        <v/>
      </c>
      <c r="C112" s="10"/>
      <c r="D112" s="23"/>
      <c r="E112" s="23"/>
      <c r="F112" s="11"/>
      <c r="G112" s="28"/>
      <c r="H112" s="12"/>
      <c r="I112" s="9"/>
      <c r="J112" s="10"/>
      <c r="K112" s="13"/>
    </row>
    <row r="113" spans="1:11" ht="69.95" hidden="1" customHeight="1" x14ac:dyDescent="0.25">
      <c r="A113" s="9"/>
      <c r="B113" s="20" t="str">
        <f>IF(ISNA(VLOOKUP(A113,Settings!$A$2:$B$11,2,FALSE)),"",VLOOKUP(A113,Settings!$A$2:$B$11,2,FALSE))</f>
        <v/>
      </c>
      <c r="C113" s="10"/>
      <c r="D113" s="23"/>
      <c r="E113" s="23"/>
      <c r="F113" s="11"/>
      <c r="G113" s="28"/>
      <c r="H113" s="12"/>
      <c r="I113" s="9"/>
      <c r="J113" s="10"/>
      <c r="K113" s="13"/>
    </row>
    <row r="114" spans="1:11" ht="69.95" hidden="1" customHeight="1" x14ac:dyDescent="0.25">
      <c r="A114" s="9"/>
      <c r="B114" s="20" t="str">
        <f>IF(ISNA(VLOOKUP(A114,Settings!$A$2:$B$11,2,FALSE)),"",VLOOKUP(A114,Settings!$A$2:$B$11,2,FALSE))</f>
        <v/>
      </c>
      <c r="C114" s="10"/>
      <c r="D114" s="23"/>
      <c r="E114" s="23"/>
      <c r="F114" s="11"/>
      <c r="G114" s="28"/>
      <c r="H114" s="12"/>
      <c r="I114" s="9"/>
      <c r="J114" s="10"/>
      <c r="K114" s="13"/>
    </row>
    <row r="115" spans="1:11" ht="69.95" hidden="1" customHeight="1" x14ac:dyDescent="0.25">
      <c r="A115" s="9"/>
      <c r="B115" s="20" t="str">
        <f>IF(ISNA(VLOOKUP(A115,Settings!$A$2:$B$11,2,FALSE)),"",VLOOKUP(A115,Settings!$A$2:$B$11,2,FALSE))</f>
        <v/>
      </c>
      <c r="C115" s="10"/>
      <c r="D115" s="23"/>
      <c r="E115" s="23"/>
      <c r="F115" s="11"/>
      <c r="G115" s="28"/>
      <c r="H115" s="12"/>
      <c r="I115" s="9"/>
      <c r="J115" s="10"/>
      <c r="K115" s="13"/>
    </row>
    <row r="116" spans="1:11" ht="69.95" hidden="1" customHeight="1" x14ac:dyDescent="0.25">
      <c r="A116" s="9"/>
      <c r="B116" s="20" t="str">
        <f>IF(ISNA(VLOOKUP(A116,Settings!$A$2:$B$11,2,FALSE)),"",VLOOKUP(A116,Settings!$A$2:$B$11,2,FALSE))</f>
        <v/>
      </c>
      <c r="C116" s="10"/>
      <c r="D116" s="23"/>
      <c r="E116" s="23"/>
      <c r="F116" s="11"/>
      <c r="G116" s="28"/>
      <c r="H116" s="12"/>
      <c r="I116" s="9"/>
      <c r="J116" s="10"/>
      <c r="K116" s="13"/>
    </row>
    <row r="117" spans="1:11" ht="69.95" hidden="1" customHeight="1" x14ac:dyDescent="0.25">
      <c r="A117" s="9"/>
      <c r="B117" s="20" t="str">
        <f>IF(ISNA(VLOOKUP(A117,Settings!$A$2:$B$11,2,FALSE)),"",VLOOKUP(A117,Settings!$A$2:$B$11,2,FALSE))</f>
        <v/>
      </c>
      <c r="C117" s="10"/>
      <c r="D117" s="23"/>
      <c r="E117" s="23"/>
      <c r="F117" s="11"/>
      <c r="G117" s="28"/>
      <c r="H117" s="12"/>
      <c r="I117" s="9"/>
      <c r="J117" s="10"/>
      <c r="K117" s="13"/>
    </row>
    <row r="118" spans="1:11" ht="69.95" hidden="1" customHeight="1" x14ac:dyDescent="0.25">
      <c r="A118" s="9"/>
      <c r="B118" s="20" t="str">
        <f>IF(ISNA(VLOOKUP(A118,Settings!$A$2:$B$11,2,FALSE)),"",VLOOKUP(A118,Settings!$A$2:$B$11,2,FALSE))</f>
        <v/>
      </c>
      <c r="C118" s="10"/>
      <c r="D118" s="23"/>
      <c r="E118" s="23"/>
      <c r="F118" s="11"/>
      <c r="G118" s="28"/>
      <c r="H118" s="12"/>
      <c r="I118" s="9"/>
      <c r="J118" s="10"/>
      <c r="K118" s="13"/>
    </row>
    <row r="119" spans="1:11" ht="69.95" hidden="1" customHeight="1" x14ac:dyDescent="0.25">
      <c r="A119" s="9"/>
      <c r="B119" s="20" t="str">
        <f>IF(ISNA(VLOOKUP(A119,Settings!$A$2:$B$11,2,FALSE)),"",VLOOKUP(A119,Settings!$A$2:$B$11,2,FALSE))</f>
        <v/>
      </c>
      <c r="C119" s="10"/>
      <c r="D119" s="23"/>
      <c r="E119" s="23"/>
      <c r="F119" s="11"/>
      <c r="G119" s="28"/>
      <c r="H119" s="12"/>
      <c r="I119" s="9"/>
      <c r="J119" s="10"/>
      <c r="K119" s="13"/>
    </row>
    <row r="120" spans="1:11" ht="69.95" hidden="1" customHeight="1" x14ac:dyDescent="0.25">
      <c r="A120" s="9"/>
      <c r="B120" s="20" t="str">
        <f>IF(ISNA(VLOOKUP(A120,Settings!$A$2:$B$11,2,FALSE)),"",VLOOKUP(A120,Settings!$A$2:$B$11,2,FALSE))</f>
        <v/>
      </c>
      <c r="C120" s="10"/>
      <c r="D120" s="23"/>
      <c r="E120" s="23"/>
      <c r="F120" s="11"/>
      <c r="G120" s="28"/>
      <c r="H120" s="12"/>
      <c r="I120" s="9"/>
      <c r="J120" s="10"/>
      <c r="K120" s="13"/>
    </row>
    <row r="121" spans="1:11" ht="69.95" hidden="1" customHeight="1" x14ac:dyDescent="0.25">
      <c r="A121" s="9"/>
      <c r="B121" s="20" t="str">
        <f>IF(ISNA(VLOOKUP(A121,Settings!$A$2:$B$11,2,FALSE)),"",VLOOKUP(A121,Settings!$A$2:$B$11,2,FALSE))</f>
        <v/>
      </c>
      <c r="C121" s="10"/>
      <c r="D121" s="23"/>
      <c r="E121" s="23"/>
      <c r="F121" s="11"/>
      <c r="G121" s="28"/>
      <c r="H121" s="12"/>
      <c r="I121" s="9"/>
      <c r="J121" s="10"/>
      <c r="K121" s="13"/>
    </row>
    <row r="122" spans="1:11" ht="69.95" hidden="1" customHeight="1" x14ac:dyDescent="0.25">
      <c r="A122" s="9"/>
      <c r="B122" s="20" t="str">
        <f>IF(ISNA(VLOOKUP(A122,Settings!$A$2:$B$11,2,FALSE)),"",VLOOKUP(A122,Settings!$A$2:$B$11,2,FALSE))</f>
        <v/>
      </c>
      <c r="C122" s="10"/>
      <c r="D122" s="23"/>
      <c r="E122" s="23"/>
      <c r="F122" s="11"/>
      <c r="G122" s="28"/>
      <c r="H122" s="12"/>
      <c r="I122" s="9"/>
      <c r="J122" s="10"/>
      <c r="K122" s="13"/>
    </row>
    <row r="123" spans="1:11" ht="69.95" hidden="1" customHeight="1" x14ac:dyDescent="0.25">
      <c r="A123" s="9"/>
      <c r="B123" s="20" t="str">
        <f>IF(ISNA(VLOOKUP(A123,Settings!$A$2:$B$11,2,FALSE)),"",VLOOKUP(A123,Settings!$A$2:$B$11,2,FALSE))</f>
        <v/>
      </c>
      <c r="C123" s="10"/>
      <c r="D123" s="23"/>
      <c r="E123" s="23"/>
      <c r="F123" s="11"/>
      <c r="G123" s="28"/>
      <c r="H123" s="12"/>
      <c r="I123" s="9"/>
      <c r="J123" s="10"/>
      <c r="K123" s="13"/>
    </row>
    <row r="124" spans="1:11" ht="69.95" hidden="1" customHeight="1" x14ac:dyDescent="0.25">
      <c r="A124" s="9"/>
      <c r="B124" s="20" t="str">
        <f>IF(ISNA(VLOOKUP(A124,Settings!$A$2:$B$11,2,FALSE)),"",VLOOKUP(A124,Settings!$A$2:$B$11,2,FALSE))</f>
        <v/>
      </c>
      <c r="C124" s="10"/>
      <c r="D124" s="23"/>
      <c r="E124" s="23"/>
      <c r="F124" s="11"/>
      <c r="G124" s="28"/>
      <c r="H124" s="12"/>
      <c r="I124" s="9"/>
      <c r="J124" s="10"/>
      <c r="K124" s="13"/>
    </row>
    <row r="125" spans="1:11" ht="69.95" hidden="1" customHeight="1" x14ac:dyDescent="0.25">
      <c r="A125" s="9"/>
      <c r="B125" s="20" t="str">
        <f>IF(ISNA(VLOOKUP(A125,Settings!$A$2:$B$11,2,FALSE)),"",VLOOKUP(A125,Settings!$A$2:$B$11,2,FALSE))</f>
        <v/>
      </c>
      <c r="C125" s="10"/>
      <c r="D125" s="23"/>
      <c r="E125" s="23"/>
      <c r="F125" s="11"/>
      <c r="G125" s="28"/>
      <c r="H125" s="12"/>
      <c r="I125" s="9"/>
      <c r="J125" s="10"/>
      <c r="K125" s="13"/>
    </row>
    <row r="126" spans="1:11" ht="69.95" hidden="1" customHeight="1" x14ac:dyDescent="0.25">
      <c r="A126" s="9"/>
      <c r="B126" s="20" t="str">
        <f>IF(ISNA(VLOOKUP(A126,Settings!$A$2:$B$11,2,FALSE)),"",VLOOKUP(A126,Settings!$A$2:$B$11,2,FALSE))</f>
        <v/>
      </c>
      <c r="C126" s="10"/>
      <c r="D126" s="23"/>
      <c r="E126" s="23"/>
      <c r="F126" s="11"/>
      <c r="G126" s="28"/>
      <c r="H126" s="12"/>
      <c r="I126" s="9"/>
      <c r="J126" s="10"/>
      <c r="K126" s="13"/>
    </row>
    <row r="127" spans="1:11" ht="69.95" hidden="1" customHeight="1" x14ac:dyDescent="0.25">
      <c r="A127" s="9"/>
      <c r="B127" s="20" t="str">
        <f>IF(ISNA(VLOOKUP(A127,Settings!$A$2:$B$11,2,FALSE)),"",VLOOKUP(A127,Settings!$A$2:$B$11,2,FALSE))</f>
        <v/>
      </c>
      <c r="C127" s="10"/>
      <c r="D127" s="23"/>
      <c r="E127" s="23"/>
      <c r="F127" s="11"/>
      <c r="G127" s="28"/>
      <c r="H127" s="12"/>
      <c r="I127" s="9"/>
      <c r="J127" s="10"/>
      <c r="K127" s="13"/>
    </row>
    <row r="128" spans="1:11" ht="69.95" hidden="1" customHeight="1" x14ac:dyDescent="0.25">
      <c r="A128" s="9"/>
      <c r="B128" s="20" t="str">
        <f>IF(ISNA(VLOOKUP(A128,Settings!$A$2:$B$11,2,FALSE)),"",VLOOKUP(A128,Settings!$A$2:$B$11,2,FALSE))</f>
        <v/>
      </c>
      <c r="C128" s="10"/>
      <c r="D128" s="23"/>
      <c r="E128" s="23"/>
      <c r="F128" s="11"/>
      <c r="G128" s="28"/>
      <c r="H128" s="12"/>
      <c r="I128" s="9"/>
      <c r="J128" s="10"/>
      <c r="K128" s="13"/>
    </row>
    <row r="129" spans="1:11" ht="69.95" hidden="1" customHeight="1" x14ac:dyDescent="0.25">
      <c r="A129" s="9"/>
      <c r="B129" s="20" t="str">
        <f>IF(ISNA(VLOOKUP(A129,Settings!$A$2:$B$11,2,FALSE)),"",VLOOKUP(A129,Settings!$A$2:$B$11,2,FALSE))</f>
        <v/>
      </c>
      <c r="C129" s="10"/>
      <c r="D129" s="23"/>
      <c r="E129" s="23"/>
      <c r="F129" s="11"/>
      <c r="G129" s="28"/>
      <c r="H129" s="12"/>
      <c r="I129" s="9"/>
      <c r="J129" s="10"/>
      <c r="K129" s="13"/>
    </row>
    <row r="130" spans="1:11" ht="69.95" hidden="1" customHeight="1" x14ac:dyDescent="0.25">
      <c r="A130" s="9"/>
      <c r="B130" s="20" t="str">
        <f>IF(ISNA(VLOOKUP(A130,Settings!$A$2:$B$11,2,FALSE)),"",VLOOKUP(A130,Settings!$A$2:$B$11,2,FALSE))</f>
        <v/>
      </c>
      <c r="C130" s="10"/>
      <c r="D130" s="23"/>
      <c r="E130" s="23"/>
      <c r="F130" s="11"/>
      <c r="G130" s="28"/>
      <c r="H130" s="12"/>
      <c r="I130" s="9"/>
      <c r="J130" s="10"/>
      <c r="K130" s="13"/>
    </row>
    <row r="131" spans="1:11" ht="69.95" hidden="1" customHeight="1" x14ac:dyDescent="0.25">
      <c r="A131" s="9"/>
      <c r="B131" s="20" t="str">
        <f>IF(ISNA(VLOOKUP(A131,Settings!$A$2:$B$11,2,FALSE)),"",VLOOKUP(A131,Settings!$A$2:$B$11,2,FALSE))</f>
        <v/>
      </c>
      <c r="C131" s="10"/>
      <c r="D131" s="23"/>
      <c r="E131" s="23"/>
      <c r="F131" s="11"/>
      <c r="G131" s="28"/>
      <c r="H131" s="12"/>
      <c r="I131" s="9"/>
      <c r="J131" s="10"/>
      <c r="K131" s="13"/>
    </row>
    <row r="132" spans="1:11" ht="69.95" hidden="1" customHeight="1" x14ac:dyDescent="0.25">
      <c r="A132" s="9"/>
      <c r="B132" s="20" t="str">
        <f>IF(ISNA(VLOOKUP(A132,Settings!$A$2:$B$11,2,FALSE)),"",VLOOKUP(A132,Settings!$A$2:$B$11,2,FALSE))</f>
        <v/>
      </c>
      <c r="C132" s="10"/>
      <c r="D132" s="23"/>
      <c r="E132" s="23"/>
      <c r="F132" s="11"/>
      <c r="G132" s="28"/>
      <c r="H132" s="12"/>
      <c r="I132" s="9"/>
      <c r="J132" s="10"/>
      <c r="K132" s="13"/>
    </row>
    <row r="133" spans="1:11" ht="69.95" hidden="1" customHeight="1" x14ac:dyDescent="0.25">
      <c r="A133" s="9"/>
      <c r="B133" s="20" t="str">
        <f>IF(ISNA(VLOOKUP(A133,Settings!$A$2:$B$11,2,FALSE)),"",VLOOKUP(A133,Settings!$A$2:$B$11,2,FALSE))</f>
        <v/>
      </c>
      <c r="C133" s="10"/>
      <c r="D133" s="23"/>
      <c r="E133" s="23"/>
      <c r="F133" s="11"/>
      <c r="G133" s="28"/>
      <c r="H133" s="12"/>
      <c r="I133" s="9"/>
      <c r="J133" s="10"/>
      <c r="K133" s="13"/>
    </row>
    <row r="134" spans="1:11" ht="69.95" hidden="1" customHeight="1" x14ac:dyDescent="0.25">
      <c r="A134" s="9"/>
      <c r="B134" s="20" t="str">
        <f>IF(ISNA(VLOOKUP(A134,Settings!$A$2:$B$11,2,FALSE)),"",VLOOKUP(A134,Settings!$A$2:$B$11,2,FALSE))</f>
        <v/>
      </c>
      <c r="C134" s="10"/>
      <c r="D134" s="23"/>
      <c r="E134" s="23"/>
      <c r="F134" s="11"/>
      <c r="G134" s="28"/>
      <c r="H134" s="12"/>
      <c r="I134" s="9"/>
      <c r="J134" s="10"/>
      <c r="K134" s="13"/>
    </row>
    <row r="135" spans="1:11" ht="69.95" hidden="1" customHeight="1" x14ac:dyDescent="0.25">
      <c r="A135" s="9"/>
      <c r="B135" s="20" t="str">
        <f>IF(ISNA(VLOOKUP(A135,Settings!$A$2:$B$11,2,FALSE)),"",VLOOKUP(A135,Settings!$A$2:$B$11,2,FALSE))</f>
        <v/>
      </c>
      <c r="C135" s="10"/>
      <c r="D135" s="23"/>
      <c r="E135" s="23"/>
      <c r="F135" s="11"/>
      <c r="G135" s="28"/>
      <c r="H135" s="12"/>
      <c r="I135" s="9"/>
      <c r="J135" s="10"/>
      <c r="K135" s="13"/>
    </row>
    <row r="136" spans="1:11" ht="69.95" hidden="1" customHeight="1" x14ac:dyDescent="0.25">
      <c r="A136" s="9"/>
      <c r="B136" s="20" t="str">
        <f>IF(ISNA(VLOOKUP(A136,Settings!$A$2:$B$11,2,FALSE)),"",VLOOKUP(A136,Settings!$A$2:$B$11,2,FALSE))</f>
        <v/>
      </c>
      <c r="C136" s="10"/>
      <c r="D136" s="23"/>
      <c r="E136" s="23"/>
      <c r="F136" s="11"/>
      <c r="G136" s="28"/>
      <c r="H136" s="12"/>
      <c r="I136" s="9"/>
      <c r="J136" s="10"/>
      <c r="K136" s="13"/>
    </row>
    <row r="137" spans="1:11" ht="69.95" hidden="1" customHeight="1" x14ac:dyDescent="0.25">
      <c r="A137" s="9"/>
      <c r="B137" s="20" t="str">
        <f>IF(ISNA(VLOOKUP(A137,Settings!$A$2:$B$11,2,FALSE)),"",VLOOKUP(A137,Settings!$A$2:$B$11,2,FALSE))</f>
        <v/>
      </c>
      <c r="C137" s="10"/>
      <c r="D137" s="23"/>
      <c r="E137" s="23"/>
      <c r="F137" s="11"/>
      <c r="G137" s="28"/>
      <c r="H137" s="12"/>
      <c r="I137" s="9"/>
      <c r="J137" s="10"/>
      <c r="K137" s="13"/>
    </row>
    <row r="138" spans="1:11" ht="69.95" hidden="1" customHeight="1" x14ac:dyDescent="0.25">
      <c r="A138" s="9"/>
      <c r="B138" s="20" t="str">
        <f>IF(ISNA(VLOOKUP(A138,Settings!$A$2:$B$11,2,FALSE)),"",VLOOKUP(A138,Settings!$A$2:$B$11,2,FALSE))</f>
        <v/>
      </c>
      <c r="C138" s="10"/>
      <c r="D138" s="23"/>
      <c r="E138" s="23"/>
      <c r="F138" s="11"/>
      <c r="G138" s="28"/>
      <c r="H138" s="12"/>
      <c r="I138" s="9"/>
      <c r="J138" s="10"/>
      <c r="K138" s="13"/>
    </row>
    <row r="139" spans="1:11" ht="69.95" hidden="1" customHeight="1" x14ac:dyDescent="0.25">
      <c r="A139" s="9"/>
      <c r="B139" s="20" t="str">
        <f>IF(ISNA(VLOOKUP(A139,Settings!$A$2:$B$11,2,FALSE)),"",VLOOKUP(A139,Settings!$A$2:$B$11,2,FALSE))</f>
        <v/>
      </c>
      <c r="C139" s="10"/>
      <c r="D139" s="23"/>
      <c r="E139" s="23"/>
      <c r="F139" s="11"/>
      <c r="G139" s="28"/>
      <c r="H139" s="12"/>
      <c r="I139" s="9"/>
      <c r="J139" s="10"/>
      <c r="K139" s="13"/>
    </row>
    <row r="140" spans="1:11" ht="69.95" hidden="1" customHeight="1" x14ac:dyDescent="0.25">
      <c r="A140" s="9"/>
      <c r="B140" s="20" t="str">
        <f>IF(ISNA(VLOOKUP(A140,Settings!$A$2:$B$11,2,FALSE)),"",VLOOKUP(A140,Settings!$A$2:$B$11,2,FALSE))</f>
        <v/>
      </c>
      <c r="C140" s="10"/>
      <c r="D140" s="23"/>
      <c r="E140" s="23"/>
      <c r="F140" s="11"/>
      <c r="G140" s="28"/>
      <c r="H140" s="12"/>
      <c r="I140" s="9"/>
      <c r="J140" s="10"/>
      <c r="K140" s="13"/>
    </row>
    <row r="141" spans="1:11" ht="69.95" hidden="1" customHeight="1" x14ac:dyDescent="0.25">
      <c r="A141" s="9"/>
      <c r="B141" s="20" t="str">
        <f>IF(ISNA(VLOOKUP(A141,Settings!$A$2:$B$11,2,FALSE)),"",VLOOKUP(A141,Settings!$A$2:$B$11,2,FALSE))</f>
        <v/>
      </c>
      <c r="C141" s="10"/>
      <c r="D141" s="23"/>
      <c r="E141" s="23"/>
      <c r="F141" s="11"/>
      <c r="G141" s="28"/>
      <c r="H141" s="12"/>
      <c r="I141" s="9"/>
      <c r="J141" s="10"/>
      <c r="K141" s="13"/>
    </row>
    <row r="142" spans="1:11" ht="69.95" hidden="1" customHeight="1" x14ac:dyDescent="0.25">
      <c r="A142" s="9"/>
      <c r="B142" s="20" t="str">
        <f>IF(ISNA(VLOOKUP(A142,Settings!$A$2:$B$11,2,FALSE)),"",VLOOKUP(A142,Settings!$A$2:$B$11,2,FALSE))</f>
        <v/>
      </c>
      <c r="C142" s="10"/>
      <c r="D142" s="23"/>
      <c r="E142" s="23"/>
      <c r="F142" s="11"/>
      <c r="G142" s="28"/>
      <c r="H142" s="12"/>
      <c r="I142" s="9"/>
      <c r="J142" s="10"/>
      <c r="K142" s="13"/>
    </row>
    <row r="143" spans="1:11" ht="69.95" hidden="1" customHeight="1" x14ac:dyDescent="0.25">
      <c r="A143" s="9"/>
      <c r="B143" s="20" t="str">
        <f>IF(ISNA(VLOOKUP(A143,Settings!$A$2:$B$11,2,FALSE)),"",VLOOKUP(A143,Settings!$A$2:$B$11,2,FALSE))</f>
        <v/>
      </c>
      <c r="C143" s="10"/>
      <c r="D143" s="23"/>
      <c r="E143" s="23"/>
      <c r="F143" s="11"/>
      <c r="G143" s="28"/>
      <c r="H143" s="12"/>
      <c r="I143" s="9"/>
      <c r="J143" s="10"/>
      <c r="K143" s="13"/>
    </row>
    <row r="144" spans="1:11" ht="69.95" hidden="1" customHeight="1" x14ac:dyDescent="0.25">
      <c r="A144" s="9"/>
      <c r="B144" s="20" t="str">
        <f>IF(ISNA(VLOOKUP(A144,Settings!$A$2:$B$11,2,FALSE)),"",VLOOKUP(A144,Settings!$A$2:$B$11,2,FALSE))</f>
        <v/>
      </c>
      <c r="C144" s="10"/>
      <c r="D144" s="23"/>
      <c r="E144" s="23"/>
      <c r="F144" s="11"/>
      <c r="G144" s="28"/>
      <c r="H144" s="12"/>
      <c r="I144" s="9"/>
      <c r="J144" s="10"/>
      <c r="K144" s="13"/>
    </row>
    <row r="145" spans="1:11" ht="69.95" hidden="1" customHeight="1" x14ac:dyDescent="0.25">
      <c r="A145" s="9"/>
      <c r="B145" s="20" t="str">
        <f>IF(ISNA(VLOOKUP(A145,Settings!$A$2:$B$11,2,FALSE)),"",VLOOKUP(A145,Settings!$A$2:$B$11,2,FALSE))</f>
        <v/>
      </c>
      <c r="C145" s="10"/>
      <c r="D145" s="23"/>
      <c r="E145" s="23"/>
      <c r="F145" s="11"/>
      <c r="G145" s="28"/>
      <c r="H145" s="12"/>
      <c r="I145" s="9"/>
      <c r="J145" s="10"/>
      <c r="K145" s="13"/>
    </row>
    <row r="146" spans="1:11" ht="69.95" hidden="1" customHeight="1" x14ac:dyDescent="0.25">
      <c r="A146" s="9"/>
      <c r="B146" s="20" t="str">
        <f>IF(ISNA(VLOOKUP(A146,Settings!$A$2:$B$11,2,FALSE)),"",VLOOKUP(A146,Settings!$A$2:$B$11,2,FALSE))</f>
        <v/>
      </c>
      <c r="C146" s="10"/>
      <c r="D146" s="23"/>
      <c r="E146" s="23"/>
      <c r="F146" s="11"/>
      <c r="G146" s="28"/>
      <c r="H146" s="12"/>
      <c r="I146" s="9"/>
      <c r="J146" s="10"/>
      <c r="K146" s="13"/>
    </row>
    <row r="147" spans="1:11" ht="69.95" hidden="1" customHeight="1" x14ac:dyDescent="0.25">
      <c r="A147" s="9"/>
      <c r="B147" s="20" t="str">
        <f>IF(ISNA(VLOOKUP(A147,Settings!$A$2:$B$11,2,FALSE)),"",VLOOKUP(A147,Settings!$A$2:$B$11,2,FALSE))</f>
        <v/>
      </c>
      <c r="C147" s="10"/>
      <c r="D147" s="23"/>
      <c r="E147" s="23"/>
      <c r="F147" s="11"/>
      <c r="G147" s="28"/>
      <c r="H147" s="12"/>
      <c r="I147" s="9"/>
      <c r="J147" s="10"/>
      <c r="K147" s="13"/>
    </row>
    <row r="148" spans="1:11" ht="69.95" hidden="1" customHeight="1" x14ac:dyDescent="0.25">
      <c r="A148" s="9"/>
      <c r="B148" s="20" t="str">
        <f>IF(ISNA(VLOOKUP(A148,Settings!$A$2:$B$11,2,FALSE)),"",VLOOKUP(A148,Settings!$A$2:$B$11,2,FALSE))</f>
        <v/>
      </c>
      <c r="C148" s="10"/>
      <c r="D148" s="23"/>
      <c r="E148" s="23"/>
      <c r="F148" s="11"/>
      <c r="G148" s="28"/>
      <c r="H148" s="12"/>
      <c r="I148" s="9"/>
      <c r="J148" s="10"/>
      <c r="K148" s="13"/>
    </row>
    <row r="149" spans="1:11" ht="69.95" hidden="1" customHeight="1" x14ac:dyDescent="0.25">
      <c r="A149" s="9"/>
      <c r="B149" s="20" t="str">
        <f>IF(ISNA(VLOOKUP(A149,Settings!$A$2:$B$11,2,FALSE)),"",VLOOKUP(A149,Settings!$A$2:$B$11,2,FALSE))</f>
        <v/>
      </c>
      <c r="C149" s="10"/>
      <c r="D149" s="23"/>
      <c r="E149" s="23"/>
      <c r="F149" s="11"/>
      <c r="G149" s="28"/>
      <c r="H149" s="12"/>
      <c r="I149" s="9"/>
      <c r="J149" s="10"/>
      <c r="K149" s="13"/>
    </row>
    <row r="150" spans="1:11" ht="69.95" hidden="1" customHeight="1" x14ac:dyDescent="0.25">
      <c r="A150" s="9"/>
      <c r="B150" s="20" t="str">
        <f>IF(ISNA(VLOOKUP(A150,Settings!$A$2:$B$11,2,FALSE)),"",VLOOKUP(A150,Settings!$A$2:$B$11,2,FALSE))</f>
        <v/>
      </c>
      <c r="C150" s="10"/>
      <c r="D150" s="23"/>
      <c r="E150" s="23"/>
      <c r="F150" s="11"/>
      <c r="G150" s="28"/>
      <c r="H150" s="12"/>
      <c r="I150" s="9"/>
      <c r="J150" s="10"/>
      <c r="K150" s="13"/>
    </row>
    <row r="151" spans="1:11" ht="69.95" hidden="1" customHeight="1" x14ac:dyDescent="0.25">
      <c r="A151" s="9"/>
      <c r="B151" s="20" t="str">
        <f>IF(ISNA(VLOOKUP(A151,Settings!$A$2:$B$11,2,FALSE)),"",VLOOKUP(A151,Settings!$A$2:$B$11,2,FALSE))</f>
        <v/>
      </c>
      <c r="C151" s="10"/>
      <c r="D151" s="23"/>
      <c r="E151" s="23"/>
      <c r="F151" s="11"/>
      <c r="G151" s="28"/>
      <c r="H151" s="12"/>
      <c r="I151" s="9"/>
      <c r="J151" s="10"/>
      <c r="K151" s="13"/>
    </row>
    <row r="152" spans="1:11" ht="69.95" hidden="1" customHeight="1" x14ac:dyDescent="0.25">
      <c r="A152" s="9"/>
      <c r="B152" s="20" t="str">
        <f>IF(ISNA(VLOOKUP(A152,Settings!$A$2:$B$11,2,FALSE)),"",VLOOKUP(A152,Settings!$A$2:$B$11,2,FALSE))</f>
        <v/>
      </c>
      <c r="C152" s="10"/>
      <c r="D152" s="23"/>
      <c r="E152" s="23"/>
      <c r="F152" s="11"/>
      <c r="G152" s="28"/>
      <c r="H152" s="12"/>
      <c r="I152" s="9"/>
      <c r="J152" s="10"/>
      <c r="K152" s="13"/>
    </row>
    <row r="153" spans="1:11" ht="69.95" hidden="1" customHeight="1" x14ac:dyDescent="0.25">
      <c r="A153" s="9"/>
      <c r="B153" s="20" t="str">
        <f>IF(ISNA(VLOOKUP(A153,Settings!$A$2:$B$11,2,FALSE)),"",VLOOKUP(A153,Settings!$A$2:$B$11,2,FALSE))</f>
        <v/>
      </c>
      <c r="C153" s="10"/>
      <c r="D153" s="23"/>
      <c r="E153" s="23"/>
      <c r="F153" s="11"/>
      <c r="G153" s="28"/>
      <c r="H153" s="12"/>
      <c r="I153" s="9"/>
      <c r="J153" s="10"/>
      <c r="K153" s="13"/>
    </row>
    <row r="154" spans="1:11" ht="69.95" hidden="1" customHeight="1" x14ac:dyDescent="0.25">
      <c r="A154" s="9"/>
      <c r="B154" s="20" t="str">
        <f>IF(ISNA(VLOOKUP(A154,Settings!$A$2:$B$11,2,FALSE)),"",VLOOKUP(A154,Settings!$A$2:$B$11,2,FALSE))</f>
        <v/>
      </c>
      <c r="C154" s="10"/>
      <c r="D154" s="23"/>
      <c r="E154" s="23"/>
      <c r="F154" s="11"/>
      <c r="G154" s="28"/>
      <c r="H154" s="12"/>
      <c r="I154" s="9"/>
      <c r="J154" s="10"/>
      <c r="K154" s="13"/>
    </row>
    <row r="155" spans="1:11" ht="69.95" hidden="1" customHeight="1" x14ac:dyDescent="0.25">
      <c r="A155" s="9"/>
      <c r="B155" s="20" t="str">
        <f>IF(ISNA(VLOOKUP(A155,Settings!$A$2:$B$11,2,FALSE)),"",VLOOKUP(A155,Settings!$A$2:$B$11,2,FALSE))</f>
        <v/>
      </c>
      <c r="C155" s="10"/>
      <c r="D155" s="23"/>
      <c r="E155" s="23"/>
      <c r="F155" s="11"/>
      <c r="G155" s="28"/>
      <c r="H155" s="12"/>
      <c r="I155" s="9"/>
      <c r="J155" s="10"/>
      <c r="K155" s="13"/>
    </row>
    <row r="156" spans="1:11" ht="69.95" hidden="1" customHeight="1" x14ac:dyDescent="0.25">
      <c r="A156" s="9"/>
      <c r="B156" s="20" t="str">
        <f>IF(ISNA(VLOOKUP(A156,Settings!$A$2:$B$11,2,FALSE)),"",VLOOKUP(A156,Settings!$A$2:$B$11,2,FALSE))</f>
        <v/>
      </c>
      <c r="C156" s="10"/>
      <c r="D156" s="23"/>
      <c r="E156" s="23"/>
      <c r="F156" s="11"/>
      <c r="G156" s="28"/>
      <c r="H156" s="12"/>
      <c r="I156" s="9"/>
      <c r="J156" s="10"/>
      <c r="K156" s="13"/>
    </row>
    <row r="157" spans="1:11" ht="69.95" hidden="1" customHeight="1" x14ac:dyDescent="0.25">
      <c r="A157" s="9"/>
      <c r="B157" s="20" t="str">
        <f>IF(ISNA(VLOOKUP(A157,Settings!$A$2:$B$11,2,FALSE)),"",VLOOKUP(A157,Settings!$A$2:$B$11,2,FALSE))</f>
        <v/>
      </c>
      <c r="C157" s="10"/>
      <c r="D157" s="23"/>
      <c r="E157" s="23"/>
      <c r="F157" s="11"/>
      <c r="G157" s="28"/>
      <c r="H157" s="12"/>
      <c r="I157" s="9"/>
      <c r="J157" s="10"/>
      <c r="K157" s="13"/>
    </row>
    <row r="158" spans="1:11" ht="69.95" hidden="1" customHeight="1" x14ac:dyDescent="0.25">
      <c r="A158" s="9"/>
      <c r="B158" s="20" t="str">
        <f>IF(ISNA(VLOOKUP(A158,Settings!$A$2:$B$11,2,FALSE)),"",VLOOKUP(A158,Settings!$A$2:$B$11,2,FALSE))</f>
        <v/>
      </c>
      <c r="C158" s="10"/>
      <c r="D158" s="23"/>
      <c r="E158" s="23"/>
      <c r="F158" s="11"/>
      <c r="G158" s="28"/>
      <c r="H158" s="12"/>
      <c r="I158" s="9"/>
      <c r="J158" s="10"/>
      <c r="K158" s="13"/>
    </row>
    <row r="159" spans="1:11" ht="69.95" hidden="1" customHeight="1" x14ac:dyDescent="0.25">
      <c r="A159" s="9"/>
      <c r="B159" s="20" t="str">
        <f>IF(ISNA(VLOOKUP(A159,Settings!$A$2:$B$11,2,FALSE)),"",VLOOKUP(A159,Settings!$A$2:$B$11,2,FALSE))</f>
        <v/>
      </c>
      <c r="C159" s="10"/>
      <c r="D159" s="23"/>
      <c r="E159" s="23"/>
      <c r="F159" s="11"/>
      <c r="G159" s="28"/>
      <c r="H159" s="12"/>
      <c r="I159" s="9"/>
      <c r="J159" s="10"/>
      <c r="K159" s="13"/>
    </row>
    <row r="160" spans="1:11" ht="69.95" hidden="1" customHeight="1" x14ac:dyDescent="0.25">
      <c r="A160" s="9"/>
      <c r="B160" s="20" t="str">
        <f>IF(ISNA(VLOOKUP(A160,Settings!$A$2:$B$11,2,FALSE)),"",VLOOKUP(A160,Settings!$A$2:$B$11,2,FALSE))</f>
        <v/>
      </c>
      <c r="C160" s="10"/>
      <c r="D160" s="23"/>
      <c r="E160" s="23"/>
      <c r="F160" s="11"/>
      <c r="G160" s="28"/>
      <c r="H160" s="12"/>
      <c r="I160" s="9"/>
      <c r="J160" s="10"/>
      <c r="K160" s="13"/>
    </row>
    <row r="161" spans="1:11" ht="69.95" hidden="1" customHeight="1" x14ac:dyDescent="0.25">
      <c r="A161" s="9"/>
      <c r="B161" s="20" t="str">
        <f>IF(ISNA(VLOOKUP(A161,Settings!$A$2:$B$11,2,FALSE)),"",VLOOKUP(A161,Settings!$A$2:$B$11,2,FALSE))</f>
        <v/>
      </c>
      <c r="C161" s="10"/>
      <c r="D161" s="23"/>
      <c r="E161" s="23"/>
      <c r="F161" s="11"/>
      <c r="G161" s="28"/>
      <c r="H161" s="12"/>
      <c r="I161" s="9"/>
      <c r="J161" s="10"/>
      <c r="K161" s="13"/>
    </row>
    <row r="162" spans="1:11" ht="69.95" hidden="1" customHeight="1" x14ac:dyDescent="0.25">
      <c r="A162" s="9"/>
      <c r="B162" s="20" t="str">
        <f>IF(ISNA(VLOOKUP(A162,Settings!$A$2:$B$11,2,FALSE)),"",VLOOKUP(A162,Settings!$A$2:$B$11,2,FALSE))</f>
        <v/>
      </c>
      <c r="C162" s="10"/>
      <c r="D162" s="23"/>
      <c r="E162" s="23"/>
      <c r="F162" s="11"/>
      <c r="G162" s="28"/>
      <c r="H162" s="12"/>
      <c r="I162" s="9"/>
      <c r="J162" s="10"/>
      <c r="K162" s="13"/>
    </row>
    <row r="163" spans="1:11" ht="69.95" hidden="1" customHeight="1" x14ac:dyDescent="0.25">
      <c r="A163" s="9"/>
      <c r="B163" s="20" t="str">
        <f>IF(ISNA(VLOOKUP(A163,Settings!$A$2:$B$11,2,FALSE)),"",VLOOKUP(A163,Settings!$A$2:$B$11,2,FALSE))</f>
        <v/>
      </c>
      <c r="C163" s="10"/>
      <c r="D163" s="23"/>
      <c r="E163" s="23"/>
      <c r="F163" s="11"/>
      <c r="G163" s="28"/>
      <c r="H163" s="12"/>
      <c r="I163" s="9"/>
      <c r="J163" s="10"/>
      <c r="K163" s="13"/>
    </row>
    <row r="164" spans="1:11" ht="69.95" hidden="1" customHeight="1" x14ac:dyDescent="0.25">
      <c r="A164" s="9"/>
      <c r="B164" s="20" t="str">
        <f>IF(ISNA(VLOOKUP(A164,Settings!$A$2:$B$11,2,FALSE)),"",VLOOKUP(A164,Settings!$A$2:$B$11,2,FALSE))</f>
        <v/>
      </c>
      <c r="C164" s="10"/>
      <c r="D164" s="23"/>
      <c r="E164" s="23"/>
      <c r="F164" s="11"/>
      <c r="G164" s="28"/>
      <c r="H164" s="12"/>
      <c r="I164" s="9"/>
      <c r="J164" s="10"/>
      <c r="K164" s="13"/>
    </row>
    <row r="165" spans="1:11" ht="69.95" hidden="1" customHeight="1" x14ac:dyDescent="0.25">
      <c r="A165" s="9"/>
      <c r="B165" s="20" t="str">
        <f>IF(ISNA(VLOOKUP(A165,Settings!$A$2:$B$11,2,FALSE)),"",VLOOKUP(A165,Settings!$A$2:$B$11,2,FALSE))</f>
        <v/>
      </c>
      <c r="C165" s="10"/>
      <c r="D165" s="23"/>
      <c r="E165" s="23"/>
      <c r="F165" s="11"/>
      <c r="G165" s="28"/>
      <c r="H165" s="12"/>
      <c r="I165" s="9"/>
      <c r="J165" s="10"/>
      <c r="K165" s="13"/>
    </row>
    <row r="166" spans="1:11" ht="69.95" hidden="1" customHeight="1" x14ac:dyDescent="0.25">
      <c r="A166" s="9"/>
      <c r="B166" s="20" t="str">
        <f>IF(ISNA(VLOOKUP(A166,Settings!$A$2:$B$11,2,FALSE)),"",VLOOKUP(A166,Settings!$A$2:$B$11,2,FALSE))</f>
        <v/>
      </c>
      <c r="C166" s="10"/>
      <c r="D166" s="23"/>
      <c r="E166" s="23"/>
      <c r="F166" s="11"/>
      <c r="G166" s="28"/>
      <c r="H166" s="12"/>
      <c r="I166" s="9"/>
      <c r="J166" s="10"/>
      <c r="K166" s="13"/>
    </row>
    <row r="167" spans="1:11" ht="69.95" hidden="1" customHeight="1" x14ac:dyDescent="0.25">
      <c r="A167" s="9"/>
      <c r="B167" s="20" t="str">
        <f>IF(ISNA(VLOOKUP(A167,Settings!$A$2:$B$11,2,FALSE)),"",VLOOKUP(A167,Settings!$A$2:$B$11,2,FALSE))</f>
        <v/>
      </c>
      <c r="C167" s="10"/>
      <c r="D167" s="23"/>
      <c r="E167" s="23"/>
      <c r="F167" s="11"/>
      <c r="G167" s="28"/>
      <c r="H167" s="12"/>
      <c r="I167" s="9"/>
      <c r="J167" s="10"/>
      <c r="K167" s="13"/>
    </row>
    <row r="168" spans="1:11" ht="69.95" hidden="1" customHeight="1" x14ac:dyDescent="0.25">
      <c r="A168" s="9"/>
      <c r="B168" s="20" t="str">
        <f>IF(ISNA(VLOOKUP(A168,Settings!$A$2:$B$11,2,FALSE)),"",VLOOKUP(A168,Settings!$A$2:$B$11,2,FALSE))</f>
        <v/>
      </c>
      <c r="C168" s="10"/>
      <c r="D168" s="23"/>
      <c r="E168" s="23"/>
      <c r="F168" s="11"/>
      <c r="G168" s="28"/>
      <c r="H168" s="12"/>
      <c r="I168" s="9"/>
      <c r="J168" s="10"/>
      <c r="K168" s="13"/>
    </row>
    <row r="169" spans="1:11" ht="69.95" hidden="1" customHeight="1" x14ac:dyDescent="0.25">
      <c r="A169" s="9"/>
      <c r="B169" s="20" t="str">
        <f>IF(ISNA(VLOOKUP(A169,Settings!$A$2:$B$11,2,FALSE)),"",VLOOKUP(A169,Settings!$A$2:$B$11,2,FALSE))</f>
        <v/>
      </c>
      <c r="C169" s="10"/>
      <c r="D169" s="23"/>
      <c r="E169" s="23"/>
      <c r="F169" s="11"/>
      <c r="G169" s="28"/>
      <c r="H169" s="12"/>
      <c r="I169" s="9"/>
      <c r="J169" s="10"/>
      <c r="K169" s="13"/>
    </row>
    <row r="170" spans="1:11" ht="69.95" hidden="1" customHeight="1" x14ac:dyDescent="0.25">
      <c r="A170" s="9"/>
      <c r="B170" s="20" t="str">
        <f>IF(ISNA(VLOOKUP(A170,Settings!$A$2:$B$11,2,FALSE)),"",VLOOKUP(A170,Settings!$A$2:$B$11,2,FALSE))</f>
        <v/>
      </c>
      <c r="C170" s="10"/>
      <c r="D170" s="23"/>
      <c r="E170" s="23"/>
      <c r="F170" s="11"/>
      <c r="G170" s="28"/>
      <c r="H170" s="12"/>
      <c r="I170" s="9"/>
      <c r="J170" s="10"/>
      <c r="K170" s="13"/>
    </row>
    <row r="171" spans="1:11" ht="69.95" hidden="1" customHeight="1" x14ac:dyDescent="0.25">
      <c r="A171" s="9"/>
      <c r="B171" s="20" t="str">
        <f>IF(ISNA(VLOOKUP(A171,Settings!$A$2:$B$11,2,FALSE)),"",VLOOKUP(A171,Settings!$A$2:$B$11,2,FALSE))</f>
        <v/>
      </c>
      <c r="C171" s="10"/>
      <c r="D171" s="23"/>
      <c r="E171" s="23"/>
      <c r="F171" s="11"/>
      <c r="G171" s="28"/>
      <c r="H171" s="12"/>
      <c r="I171" s="9"/>
      <c r="J171" s="10"/>
      <c r="K171" s="13"/>
    </row>
    <row r="172" spans="1:11" ht="69.95" hidden="1" customHeight="1" x14ac:dyDescent="0.25">
      <c r="A172" s="9"/>
      <c r="B172" s="20" t="str">
        <f>IF(ISNA(VLOOKUP(A172,Settings!$A$2:$B$11,2,FALSE)),"",VLOOKUP(A172,Settings!$A$2:$B$11,2,FALSE))</f>
        <v/>
      </c>
      <c r="C172" s="10"/>
      <c r="D172" s="23"/>
      <c r="E172" s="23"/>
      <c r="F172" s="11"/>
      <c r="G172" s="28"/>
      <c r="H172" s="12"/>
      <c r="I172" s="9"/>
      <c r="J172" s="10"/>
      <c r="K172" s="13"/>
    </row>
    <row r="173" spans="1:11" ht="69.95" hidden="1" customHeight="1" x14ac:dyDescent="0.25">
      <c r="A173" s="9"/>
      <c r="B173" s="20" t="str">
        <f>IF(ISNA(VLOOKUP(A173,Settings!$A$2:$B$11,2,FALSE)),"",VLOOKUP(A173,Settings!$A$2:$B$11,2,FALSE))</f>
        <v/>
      </c>
      <c r="C173" s="10"/>
      <c r="D173" s="23"/>
      <c r="E173" s="23"/>
      <c r="F173" s="11"/>
      <c r="G173" s="28"/>
      <c r="H173" s="12"/>
      <c r="I173" s="9"/>
      <c r="J173" s="10"/>
      <c r="K173" s="13"/>
    </row>
    <row r="174" spans="1:11" ht="69.95" hidden="1" customHeight="1" x14ac:dyDescent="0.25">
      <c r="A174" s="9"/>
      <c r="B174" s="20" t="str">
        <f>IF(ISNA(VLOOKUP(A174,Settings!$A$2:$B$11,2,FALSE)),"",VLOOKUP(A174,Settings!$A$2:$B$11,2,FALSE))</f>
        <v/>
      </c>
      <c r="C174" s="10"/>
      <c r="D174" s="23"/>
      <c r="E174" s="23"/>
      <c r="F174" s="11"/>
      <c r="G174" s="28"/>
      <c r="H174" s="12"/>
      <c r="I174" s="9"/>
      <c r="J174" s="10"/>
      <c r="K174" s="13"/>
    </row>
    <row r="175" spans="1:11" ht="69.95" hidden="1" customHeight="1" x14ac:dyDescent="0.25">
      <c r="A175" s="9"/>
      <c r="B175" s="20" t="str">
        <f>IF(ISNA(VLOOKUP(A175,Settings!$A$2:$B$11,2,FALSE)),"",VLOOKUP(A175,Settings!$A$2:$B$11,2,FALSE))</f>
        <v/>
      </c>
      <c r="C175" s="10"/>
      <c r="D175" s="23"/>
      <c r="E175" s="23"/>
      <c r="F175" s="11"/>
      <c r="G175" s="28"/>
      <c r="H175" s="12"/>
      <c r="I175" s="9"/>
      <c r="J175" s="10"/>
      <c r="K175" s="13"/>
    </row>
    <row r="176" spans="1:11" ht="69.95" hidden="1" customHeight="1" x14ac:dyDescent="0.25">
      <c r="A176" s="9"/>
      <c r="B176" s="20" t="str">
        <f>IF(ISNA(VLOOKUP(A176,Settings!$A$2:$B$11,2,FALSE)),"",VLOOKUP(A176,Settings!$A$2:$B$11,2,FALSE))</f>
        <v/>
      </c>
      <c r="C176" s="10"/>
      <c r="D176" s="23"/>
      <c r="E176" s="23"/>
      <c r="F176" s="11"/>
      <c r="G176" s="28"/>
      <c r="H176" s="12"/>
      <c r="I176" s="9"/>
      <c r="J176" s="10"/>
      <c r="K176" s="13"/>
    </row>
    <row r="177" spans="1:11" ht="69.95" hidden="1" customHeight="1" x14ac:dyDescent="0.25">
      <c r="A177" s="9"/>
      <c r="B177" s="20" t="str">
        <f>IF(ISNA(VLOOKUP(A177,Settings!$A$2:$B$11,2,FALSE)),"",VLOOKUP(A177,Settings!$A$2:$B$11,2,FALSE))</f>
        <v/>
      </c>
      <c r="C177" s="10"/>
      <c r="D177" s="23"/>
      <c r="E177" s="23"/>
      <c r="F177" s="11"/>
      <c r="G177" s="28"/>
      <c r="H177" s="12"/>
      <c r="I177" s="9"/>
      <c r="J177" s="10"/>
      <c r="K177" s="13"/>
    </row>
    <row r="178" spans="1:11" ht="69.95" hidden="1" customHeight="1" x14ac:dyDescent="0.25">
      <c r="A178" s="9"/>
      <c r="B178" s="20" t="str">
        <f>IF(ISNA(VLOOKUP(A178,Settings!$A$2:$B$11,2,FALSE)),"",VLOOKUP(A178,Settings!$A$2:$B$11,2,FALSE))</f>
        <v/>
      </c>
      <c r="C178" s="10"/>
      <c r="D178" s="23"/>
      <c r="E178" s="23"/>
      <c r="F178" s="11"/>
      <c r="G178" s="28"/>
      <c r="H178" s="12"/>
      <c r="I178" s="9"/>
      <c r="J178" s="10"/>
      <c r="K178" s="13"/>
    </row>
    <row r="179" spans="1:11" ht="69.95" hidden="1" customHeight="1" x14ac:dyDescent="0.25">
      <c r="A179" s="9"/>
      <c r="B179" s="20" t="str">
        <f>IF(ISNA(VLOOKUP(A179,Settings!$A$2:$B$11,2,FALSE)),"",VLOOKUP(A179,Settings!$A$2:$B$11,2,FALSE))</f>
        <v/>
      </c>
      <c r="C179" s="10"/>
      <c r="D179" s="23"/>
      <c r="E179" s="23"/>
      <c r="F179" s="11"/>
      <c r="G179" s="28"/>
      <c r="H179" s="12"/>
      <c r="I179" s="9"/>
      <c r="J179" s="10"/>
      <c r="K179" s="13"/>
    </row>
    <row r="180" spans="1:11" ht="69.95" hidden="1" customHeight="1" x14ac:dyDescent="0.25">
      <c r="A180" s="9"/>
      <c r="B180" s="20" t="str">
        <f>IF(ISNA(VLOOKUP(A180,Settings!$A$2:$B$11,2,FALSE)),"",VLOOKUP(A180,Settings!$A$2:$B$11,2,FALSE))</f>
        <v/>
      </c>
      <c r="C180" s="10"/>
      <c r="D180" s="23"/>
      <c r="E180" s="23"/>
      <c r="F180" s="11"/>
      <c r="G180" s="28"/>
      <c r="H180" s="12"/>
      <c r="I180" s="9"/>
      <c r="J180" s="10"/>
      <c r="K180" s="13"/>
    </row>
    <row r="181" spans="1:11" ht="69.95" hidden="1" customHeight="1" x14ac:dyDescent="0.25">
      <c r="A181" s="9"/>
      <c r="B181" s="20" t="str">
        <f>IF(ISNA(VLOOKUP(A181,Settings!$A$2:$B$11,2,FALSE)),"",VLOOKUP(A181,Settings!$A$2:$B$11,2,FALSE))</f>
        <v/>
      </c>
      <c r="C181" s="10"/>
      <c r="D181" s="23"/>
      <c r="E181" s="23"/>
      <c r="F181" s="11"/>
      <c r="G181" s="28"/>
      <c r="H181" s="12"/>
      <c r="I181" s="9"/>
      <c r="J181" s="10"/>
      <c r="K181" s="13"/>
    </row>
    <row r="182" spans="1:11" ht="69.95" hidden="1" customHeight="1" x14ac:dyDescent="0.25">
      <c r="A182" s="9"/>
      <c r="B182" s="20" t="str">
        <f>IF(ISNA(VLOOKUP(A182,Settings!$A$2:$B$11,2,FALSE)),"",VLOOKUP(A182,Settings!$A$2:$B$11,2,FALSE))</f>
        <v/>
      </c>
      <c r="C182" s="10"/>
      <c r="D182" s="23"/>
      <c r="E182" s="23"/>
      <c r="F182" s="11"/>
      <c r="G182" s="28"/>
      <c r="H182" s="12"/>
      <c r="I182" s="9"/>
      <c r="J182" s="10"/>
      <c r="K182" s="13"/>
    </row>
    <row r="183" spans="1:11" ht="69.95" hidden="1" customHeight="1" x14ac:dyDescent="0.25">
      <c r="A183" s="9"/>
      <c r="B183" s="20" t="str">
        <f>IF(ISNA(VLOOKUP(A183,Settings!$A$2:$B$11,2,FALSE)),"",VLOOKUP(A183,Settings!$A$2:$B$11,2,FALSE))</f>
        <v/>
      </c>
      <c r="C183" s="10"/>
      <c r="D183" s="23"/>
      <c r="E183" s="23"/>
      <c r="F183" s="11"/>
      <c r="G183" s="28"/>
      <c r="H183" s="12"/>
      <c r="I183" s="9"/>
      <c r="J183" s="10"/>
      <c r="K183" s="13"/>
    </row>
    <row r="184" spans="1:11" ht="69.95" hidden="1" customHeight="1" x14ac:dyDescent="0.25">
      <c r="A184" s="9"/>
      <c r="B184" s="20" t="str">
        <f>IF(ISNA(VLOOKUP(A184,Settings!$A$2:$B$11,2,FALSE)),"",VLOOKUP(A184,Settings!$A$2:$B$11,2,FALSE))</f>
        <v/>
      </c>
      <c r="C184" s="10"/>
      <c r="D184" s="23"/>
      <c r="E184" s="23"/>
      <c r="F184" s="11"/>
      <c r="G184" s="28"/>
      <c r="H184" s="12"/>
      <c r="I184" s="9"/>
      <c r="J184" s="10"/>
      <c r="K184" s="13"/>
    </row>
    <row r="185" spans="1:11" ht="69.95" hidden="1" customHeight="1" x14ac:dyDescent="0.25">
      <c r="A185" s="9"/>
      <c r="B185" s="20" t="str">
        <f>IF(ISNA(VLOOKUP(A185,Settings!$A$2:$B$11,2,FALSE)),"",VLOOKUP(A185,Settings!$A$2:$B$11,2,FALSE))</f>
        <v/>
      </c>
      <c r="C185" s="10"/>
      <c r="D185" s="23"/>
      <c r="E185" s="23"/>
      <c r="F185" s="11"/>
      <c r="G185" s="28"/>
      <c r="H185" s="12"/>
      <c r="I185" s="9"/>
      <c r="J185" s="10"/>
      <c r="K185" s="13"/>
    </row>
    <row r="186" spans="1:11" ht="69.95" hidden="1" customHeight="1" x14ac:dyDescent="0.25">
      <c r="A186" s="9"/>
      <c r="B186" s="20" t="str">
        <f>IF(ISNA(VLOOKUP(A186,Settings!$A$2:$B$11,2,FALSE)),"",VLOOKUP(A186,Settings!$A$2:$B$11,2,FALSE))</f>
        <v/>
      </c>
      <c r="C186" s="10"/>
      <c r="D186" s="23"/>
      <c r="E186" s="23"/>
      <c r="F186" s="11"/>
      <c r="G186" s="28"/>
      <c r="H186" s="12"/>
      <c r="I186" s="9"/>
      <c r="J186" s="10"/>
      <c r="K186" s="13"/>
    </row>
    <row r="187" spans="1:11" ht="69.95" hidden="1" customHeight="1" x14ac:dyDescent="0.25">
      <c r="A187" s="9"/>
      <c r="B187" s="20" t="str">
        <f>IF(ISNA(VLOOKUP(A187,Settings!$A$2:$B$11,2,FALSE)),"",VLOOKUP(A187,Settings!$A$2:$B$11,2,FALSE))</f>
        <v/>
      </c>
      <c r="C187" s="10"/>
      <c r="D187" s="23"/>
      <c r="E187" s="23"/>
      <c r="F187" s="11"/>
      <c r="G187" s="28"/>
      <c r="H187" s="12"/>
      <c r="I187" s="9"/>
      <c r="J187" s="10"/>
      <c r="K187" s="13"/>
    </row>
    <row r="188" spans="1:11" ht="69.95" hidden="1" customHeight="1" x14ac:dyDescent="0.25">
      <c r="A188" s="9"/>
      <c r="B188" s="20" t="str">
        <f>IF(ISNA(VLOOKUP(A188,Settings!$A$2:$B$11,2,FALSE)),"",VLOOKUP(A188,Settings!$A$2:$B$11,2,FALSE))</f>
        <v/>
      </c>
      <c r="C188" s="10"/>
      <c r="D188" s="23"/>
      <c r="E188" s="23"/>
      <c r="F188" s="11"/>
      <c r="G188" s="28"/>
      <c r="H188" s="12"/>
      <c r="I188" s="9"/>
      <c r="J188" s="10"/>
      <c r="K188" s="13"/>
    </row>
    <row r="189" spans="1:11" ht="69.95" hidden="1" customHeight="1" x14ac:dyDescent="0.25">
      <c r="A189" s="9"/>
      <c r="B189" s="20" t="str">
        <f>IF(ISNA(VLOOKUP(A189,Settings!$A$2:$B$11,2,FALSE)),"",VLOOKUP(A189,Settings!$A$2:$B$11,2,FALSE))</f>
        <v/>
      </c>
      <c r="C189" s="10"/>
      <c r="D189" s="23"/>
      <c r="E189" s="23"/>
      <c r="F189" s="11"/>
      <c r="G189" s="28"/>
      <c r="H189" s="12"/>
      <c r="I189" s="9"/>
      <c r="J189" s="10"/>
      <c r="K189" s="13"/>
    </row>
    <row r="190" spans="1:11" ht="69.95" hidden="1" customHeight="1" x14ac:dyDescent="0.25">
      <c r="A190" s="9"/>
      <c r="B190" s="20" t="str">
        <f>IF(ISNA(VLOOKUP(A190,Settings!$A$2:$B$11,2,FALSE)),"",VLOOKUP(A190,Settings!$A$2:$B$11,2,FALSE))</f>
        <v/>
      </c>
      <c r="C190" s="10"/>
      <c r="D190" s="23"/>
      <c r="E190" s="23"/>
      <c r="F190" s="11"/>
      <c r="G190" s="28"/>
      <c r="H190" s="12"/>
      <c r="I190" s="9"/>
      <c r="J190" s="10"/>
      <c r="K190" s="13"/>
    </row>
    <row r="191" spans="1:11" ht="69.95" hidden="1" customHeight="1" x14ac:dyDescent="0.25">
      <c r="A191" s="9"/>
      <c r="B191" s="20" t="str">
        <f>IF(ISNA(VLOOKUP(A191,Settings!$A$2:$B$11,2,FALSE)),"",VLOOKUP(A191,Settings!$A$2:$B$11,2,FALSE))</f>
        <v/>
      </c>
      <c r="C191" s="10"/>
      <c r="D191" s="23"/>
      <c r="E191" s="23"/>
      <c r="F191" s="11"/>
      <c r="G191" s="28"/>
      <c r="H191" s="12"/>
      <c r="I191" s="9"/>
      <c r="J191" s="10"/>
      <c r="K191" s="13"/>
    </row>
    <row r="192" spans="1:11" ht="69.95" hidden="1" customHeight="1" x14ac:dyDescent="0.25">
      <c r="A192" s="9"/>
      <c r="B192" s="20" t="str">
        <f>IF(ISNA(VLOOKUP(A192,Settings!$A$2:$B$11,2,FALSE)),"",VLOOKUP(A192,Settings!$A$2:$B$11,2,FALSE))</f>
        <v/>
      </c>
      <c r="C192" s="10"/>
      <c r="D192" s="23"/>
      <c r="E192" s="23"/>
      <c r="F192" s="11"/>
      <c r="G192" s="28"/>
      <c r="H192" s="12"/>
      <c r="I192" s="9"/>
      <c r="J192" s="10"/>
      <c r="K192" s="13"/>
    </row>
    <row r="193" spans="1:11" ht="69.95" hidden="1" customHeight="1" x14ac:dyDescent="0.25">
      <c r="A193" s="9"/>
      <c r="B193" s="20" t="str">
        <f>IF(ISNA(VLOOKUP(A193,Settings!$A$2:$B$11,2,FALSE)),"",VLOOKUP(A193,Settings!$A$2:$B$11,2,FALSE))</f>
        <v/>
      </c>
      <c r="C193" s="10"/>
      <c r="D193" s="23"/>
      <c r="E193" s="23"/>
      <c r="F193" s="11"/>
      <c r="G193" s="28"/>
      <c r="H193" s="12"/>
      <c r="I193" s="9"/>
      <c r="J193" s="10"/>
      <c r="K193" s="13"/>
    </row>
    <row r="194" spans="1:11" ht="69.95" hidden="1" customHeight="1" x14ac:dyDescent="0.25">
      <c r="A194" s="9"/>
      <c r="B194" s="20" t="str">
        <f>IF(ISNA(VLOOKUP(A194,Settings!$A$2:$B$11,2,FALSE)),"",VLOOKUP(A194,Settings!$A$2:$B$11,2,FALSE))</f>
        <v/>
      </c>
      <c r="C194" s="10"/>
      <c r="D194" s="23"/>
      <c r="E194" s="23"/>
      <c r="F194" s="11"/>
      <c r="G194" s="28"/>
      <c r="H194" s="12"/>
      <c r="I194" s="9"/>
      <c r="J194" s="10"/>
      <c r="K194" s="13"/>
    </row>
    <row r="195" spans="1:11" ht="69.95" hidden="1" customHeight="1" x14ac:dyDescent="0.25">
      <c r="A195" s="9"/>
      <c r="B195" s="20" t="str">
        <f>IF(ISNA(VLOOKUP(A195,Settings!$A$2:$B$11,2,FALSE)),"",VLOOKUP(A195,Settings!$A$2:$B$11,2,FALSE))</f>
        <v/>
      </c>
      <c r="C195" s="10"/>
      <c r="D195" s="23"/>
      <c r="E195" s="23"/>
      <c r="F195" s="11"/>
      <c r="G195" s="28"/>
      <c r="H195" s="12"/>
      <c r="I195" s="9"/>
      <c r="J195" s="10"/>
      <c r="K195" s="13"/>
    </row>
    <row r="196" spans="1:11" ht="69.95" hidden="1" customHeight="1" x14ac:dyDescent="0.25">
      <c r="A196" s="9"/>
      <c r="B196" s="20" t="str">
        <f>IF(ISNA(VLOOKUP(A196,Settings!$A$2:$B$11,2,FALSE)),"",VLOOKUP(A196,Settings!$A$2:$B$11,2,FALSE))</f>
        <v/>
      </c>
      <c r="C196" s="10"/>
      <c r="D196" s="23"/>
      <c r="E196" s="23"/>
      <c r="F196" s="11"/>
      <c r="G196" s="28"/>
      <c r="H196" s="12"/>
      <c r="I196" s="9"/>
      <c r="J196" s="10"/>
      <c r="K196" s="13"/>
    </row>
    <row r="197" spans="1:11" ht="69.95" hidden="1" customHeight="1" x14ac:dyDescent="0.25">
      <c r="A197" s="9"/>
      <c r="B197" s="20" t="str">
        <f>IF(ISNA(VLOOKUP(A197,Settings!$A$2:$B$11,2,FALSE)),"",VLOOKUP(A197,Settings!$A$2:$B$11,2,FALSE))</f>
        <v/>
      </c>
      <c r="C197" s="10"/>
      <c r="D197" s="23"/>
      <c r="E197" s="23"/>
      <c r="F197" s="11"/>
      <c r="G197" s="28"/>
      <c r="H197" s="12"/>
      <c r="I197" s="9"/>
      <c r="J197" s="10"/>
      <c r="K197" s="13"/>
    </row>
  </sheetData>
  <autoFilter ref="A4:K197" xr:uid="{EE0684B5-5395-42E5-A1DD-E483C206F0E5}">
    <filterColumn colId="0">
      <filters>
        <filter val="VII razred"/>
      </filters>
    </filterColumn>
  </autoFilter>
  <dataValidations count="1">
    <dataValidation showInputMessage="1" showErrorMessage="1" sqref="C5:C197" xr:uid="{88A35CF3-10D0-4D65-A6B5-62FA03446D91}"/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9" fitToHeight="300" orientation="landscape" r:id="rId1"/>
  <headerFooter>
    <oddHeader>&amp;L&amp;G&amp;R&amp;D</oddHeader>
    <oddFooter>&amp;R&amp;P/&amp;N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381D247-F84E-4AC3-A9F5-D527F5CBEFEA}">
          <x14:formula1>
            <xm:f>Settings!$F$2:$F$3</xm:f>
          </x14:formula1>
          <xm:sqref>I5:I197</xm:sqref>
        </x14:dataValidation>
        <x14:dataValidation type="list" allowBlank="1" showInputMessage="1" showErrorMessage="1" xr:uid="{E13840EB-556F-4331-8D14-CF0BA32F90ED}">
          <x14:formula1>
            <xm:f>Settings!$A$2:$A$11</xm:f>
          </x14:formula1>
          <xm:sqref>A5:A21 A42:A50 A59:A197</xm:sqref>
        </x14:dataValidation>
        <x14:dataValidation type="list" allowBlank="1" showInputMessage="1" showErrorMessage="1" xr:uid="{2E0F435C-83EB-48FC-945D-7FA4C60C37BB}">
          <x14:formula1>
            <xm:f>Settings!$C$2:$C$30</xm:f>
          </x14:formula1>
          <xm:sqref>G5:G1048576</xm:sqref>
        </x14:dataValidation>
        <x14:dataValidation type="list" allowBlank="1" showInputMessage="1" showErrorMessage="1" xr:uid="{DD08CEEB-9F0F-489A-B7B9-89EB75B9967A}">
          <x14:formula1>
            <xm:f>Settings!$D$2:$D$9</xm:f>
          </x14:formula1>
          <xm:sqref>E5:E21 E59:E1048576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64747-BE79-4F3A-839F-0B8627789E64}">
  <sheetPr codeName="List2"/>
  <dimension ref="A1:F28"/>
  <sheetViews>
    <sheetView workbookViewId="0">
      <selection activeCell="E6" sqref="E6"/>
    </sheetView>
  </sheetViews>
  <sheetFormatPr defaultRowHeight="16.5" x14ac:dyDescent="0.25"/>
  <cols>
    <col min="1" max="1" width="16.28515625" style="2" bestFit="1" customWidth="1"/>
    <col min="2" max="3" width="26.85546875" style="2" bestFit="1" customWidth="1"/>
    <col min="4" max="4" width="26.85546875" style="29" customWidth="1"/>
    <col min="5" max="5" width="13.5703125" style="4" customWidth="1"/>
    <col min="6" max="6" width="14.140625" style="2" bestFit="1" customWidth="1"/>
    <col min="7" max="16384" width="9.140625" style="2"/>
  </cols>
  <sheetData>
    <row r="1" spans="1:6" x14ac:dyDescent="0.25">
      <c r="A1" s="1" t="s">
        <v>6</v>
      </c>
      <c r="B1" s="1" t="s">
        <v>43</v>
      </c>
      <c r="C1" s="1" t="s">
        <v>26</v>
      </c>
      <c r="D1" s="1" t="s">
        <v>99</v>
      </c>
      <c r="E1" s="1" t="s">
        <v>40</v>
      </c>
      <c r="F1" s="1" t="s">
        <v>41</v>
      </c>
    </row>
    <row r="2" spans="1:6" x14ac:dyDescent="0.25">
      <c r="A2" s="2" t="s">
        <v>42</v>
      </c>
      <c r="B2" s="2" t="s">
        <v>27</v>
      </c>
      <c r="C2" s="2" t="s">
        <v>49</v>
      </c>
      <c r="D2" s="29" t="s">
        <v>91</v>
      </c>
      <c r="E2" s="4">
        <v>45901</v>
      </c>
      <c r="F2" s="2" t="s">
        <v>15</v>
      </c>
    </row>
    <row r="3" spans="1:6" x14ac:dyDescent="0.25">
      <c r="A3" s="3" t="s">
        <v>14</v>
      </c>
      <c r="B3" s="3" t="s">
        <v>44</v>
      </c>
      <c r="C3" s="2" t="s">
        <v>45</v>
      </c>
      <c r="D3" s="29" t="s">
        <v>96</v>
      </c>
      <c r="E3" s="4">
        <v>46194</v>
      </c>
      <c r="F3" s="2" t="s">
        <v>17</v>
      </c>
    </row>
    <row r="4" spans="1:6" x14ac:dyDescent="0.25">
      <c r="A4" s="3" t="s">
        <v>16</v>
      </c>
      <c r="B4" s="3" t="s">
        <v>51</v>
      </c>
      <c r="C4" s="2" t="s">
        <v>47</v>
      </c>
      <c r="D4" s="29" t="s">
        <v>92</v>
      </c>
    </row>
    <row r="5" spans="1:6" x14ac:dyDescent="0.25">
      <c r="A5" s="3" t="s">
        <v>18</v>
      </c>
      <c r="B5" s="3" t="s">
        <v>29</v>
      </c>
      <c r="C5" s="2" t="s">
        <v>27</v>
      </c>
      <c r="D5" s="29" t="s">
        <v>98</v>
      </c>
    </row>
    <row r="6" spans="1:6" x14ac:dyDescent="0.25">
      <c r="A6" s="3" t="s">
        <v>20</v>
      </c>
      <c r="B6" s="3" t="s">
        <v>2</v>
      </c>
      <c r="C6" s="2" t="s">
        <v>28</v>
      </c>
      <c r="D6" s="29" t="s">
        <v>93</v>
      </c>
    </row>
    <row r="7" spans="1:6" x14ac:dyDescent="0.25">
      <c r="A7" s="3" t="s">
        <v>21</v>
      </c>
      <c r="B7" s="3" t="s">
        <v>28</v>
      </c>
      <c r="C7" s="2" t="s">
        <v>0</v>
      </c>
      <c r="D7" s="29" t="s">
        <v>95</v>
      </c>
    </row>
    <row r="8" spans="1:6" x14ac:dyDescent="0.25">
      <c r="A8" s="3" t="s">
        <v>22</v>
      </c>
      <c r="B8" s="3" t="s">
        <v>4</v>
      </c>
      <c r="C8" s="2" t="s">
        <v>29</v>
      </c>
      <c r="D8" s="29" t="s">
        <v>94</v>
      </c>
    </row>
    <row r="9" spans="1:6" x14ac:dyDescent="0.25">
      <c r="A9" s="3" t="s">
        <v>23</v>
      </c>
      <c r="B9" s="3" t="s">
        <v>0</v>
      </c>
      <c r="C9" s="2" t="s">
        <v>2</v>
      </c>
      <c r="D9" s="29" t="s">
        <v>97</v>
      </c>
    </row>
    <row r="10" spans="1:6" x14ac:dyDescent="0.25">
      <c r="A10" s="3" t="s">
        <v>24</v>
      </c>
      <c r="B10" s="3" t="s">
        <v>1</v>
      </c>
      <c r="C10" s="2" t="s">
        <v>48</v>
      </c>
    </row>
    <row r="11" spans="1:6" x14ac:dyDescent="0.25">
      <c r="A11" s="3" t="s">
        <v>25</v>
      </c>
      <c r="B11" s="3" t="s">
        <v>2</v>
      </c>
      <c r="C11" s="2" t="s">
        <v>30</v>
      </c>
    </row>
    <row r="12" spans="1:6" x14ac:dyDescent="0.25">
      <c r="C12" s="2" t="s">
        <v>31</v>
      </c>
    </row>
    <row r="13" spans="1:6" x14ac:dyDescent="0.25">
      <c r="C13" s="2" t="s">
        <v>50</v>
      </c>
    </row>
    <row r="14" spans="1:6" x14ac:dyDescent="0.25">
      <c r="C14" s="2" t="s">
        <v>32</v>
      </c>
    </row>
    <row r="15" spans="1:6" x14ac:dyDescent="0.25">
      <c r="C15" s="2" t="s">
        <v>46</v>
      </c>
    </row>
    <row r="16" spans="1:6" x14ac:dyDescent="0.25">
      <c r="C16" s="2" t="s">
        <v>33</v>
      </c>
    </row>
    <row r="17" spans="3:3" x14ac:dyDescent="0.25">
      <c r="C17" s="2" t="s">
        <v>86</v>
      </c>
    </row>
    <row r="18" spans="3:3" x14ac:dyDescent="0.25">
      <c r="C18" s="2" t="s">
        <v>3</v>
      </c>
    </row>
    <row r="19" spans="3:3" x14ac:dyDescent="0.25">
      <c r="C19" s="2" t="s">
        <v>34</v>
      </c>
    </row>
    <row r="20" spans="3:3" x14ac:dyDescent="0.25">
      <c r="C20" s="2" t="s">
        <v>35</v>
      </c>
    </row>
    <row r="21" spans="3:3" x14ac:dyDescent="0.25">
      <c r="C21" s="2" t="s">
        <v>36</v>
      </c>
    </row>
    <row r="22" spans="3:3" x14ac:dyDescent="0.25">
      <c r="C22" s="2" t="s">
        <v>37</v>
      </c>
    </row>
    <row r="23" spans="3:3" x14ac:dyDescent="0.25">
      <c r="C23" s="2" t="s">
        <v>44</v>
      </c>
    </row>
    <row r="24" spans="3:3" x14ac:dyDescent="0.25">
      <c r="C24" s="2" t="s">
        <v>51</v>
      </c>
    </row>
    <row r="25" spans="3:3" x14ac:dyDescent="0.25">
      <c r="C25" s="2" t="s">
        <v>5</v>
      </c>
    </row>
    <row r="26" spans="3:3" x14ac:dyDescent="0.25">
      <c r="C26" s="2" t="s">
        <v>38</v>
      </c>
    </row>
    <row r="27" spans="3:3" x14ac:dyDescent="0.25">
      <c r="C27" s="2" t="s">
        <v>39</v>
      </c>
    </row>
    <row r="28" spans="3:3" x14ac:dyDescent="0.25">
      <c r="C28" s="2" t="s">
        <v>1</v>
      </c>
    </row>
  </sheetData>
  <sortState xmlns:xlrd2="http://schemas.microsoft.com/office/spreadsheetml/2017/richdata2" ref="D2:D9">
    <sortCondition ref="D2:D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Radni listovi</vt:lpstr>
      </vt:variant>
      <vt:variant>
        <vt:i4>3</vt:i4>
      </vt:variant>
      <vt:variant>
        <vt:lpstr>Imenovani rasponi</vt:lpstr>
      </vt:variant>
      <vt:variant>
        <vt:i4>2</vt:i4>
      </vt:variant>
    </vt:vector>
  </HeadingPairs>
  <TitlesOfParts>
    <vt:vector size="5" baseType="lpstr">
      <vt:lpstr>List2</vt:lpstr>
      <vt:lpstr>Izleti_I_Obilasci</vt:lpstr>
      <vt:lpstr>Settings</vt:lpstr>
      <vt:lpstr>Izleti_I_Obilasci!Ispis_naslova</vt:lpstr>
      <vt:lpstr>List2!Podrucje_ispisa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Davor Mulalić</dc:creator>
  <cp:lastModifiedBy>BOSANSKI U POKRETU IDSS</cp:lastModifiedBy>
  <cp:lastPrinted>2026-02-02T08:37:08Z</cp:lastPrinted>
  <dcterms:created xsi:type="dcterms:W3CDTF">2023-10-16T09:02:15Z</dcterms:created>
  <dcterms:modified xsi:type="dcterms:W3CDTF">2026-02-02T08:37:12Z</dcterms:modified>
</cp:coreProperties>
</file>